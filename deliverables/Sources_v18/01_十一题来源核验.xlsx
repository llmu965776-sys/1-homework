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结论与使用" sheetId="1" state="visible" r:id="rId3"/>
    <sheet name="01_十一题逐题核验" sheetId="2" state="visible" r:id="rId4"/>
    <sheet name="02_公开来源" sheetId="3" state="visible" r:id="rId5"/>
    <sheet name="03_检索日志" sheetId="4" state="visible" r:id="rId6"/>
    <sheet name="04_统计与限制" sheetId="5" state="visible" r:id="rId7"/>
  </sheets>
  <definedNames>
    <definedName function="false" hidden="true" localSheetId="0" name="_xlnm._FilterDatabase" vbProcedure="false">'00_结论与使用'!$A$1:$B$9</definedName>
    <definedName function="false" hidden="true" localSheetId="1" name="_xlnm._FilterDatabase" vbProcedure="false">'01_十一题逐题核验'!$A$1:$X$12</definedName>
    <definedName function="false" hidden="true" localSheetId="2" name="_xlnm._FilterDatabase" vbProcedure="false">'02_公开来源'!$A$1:$E$7</definedName>
    <definedName function="false" hidden="true" localSheetId="3" name="_xlnm._FilterDatabase" vbProcedure="false">'03_检索日志'!$A$1:$H$12</definedName>
    <definedName function="false" hidden="true" localSheetId="4" name="_xlnm._FilterDatabase" vbProcedure="false">'04_统计与限制'!$A$1:$C$10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<sst xmlns="http://schemas.openxmlformats.org/spreadsheetml/2006/main" count="401" uniqueCount="157">
  <si>
    <t xml:space="preserve">事项</t>
  </si>
  <si>
    <t xml:space="preserve">结果</t>
  </si>
  <si>
    <t xml:space="preserve">核验日期</t>
  </si>
  <si>
    <t xml:space="preserve">2026-10-29T09:58:17+08:00</t>
  </si>
  <si>
    <t xml:space="preserve">核验范围</t>
  </si>
  <si>
    <r>
      <rPr>
        <sz val="11"/>
        <color theme="1"/>
        <rFont val="Calibri"/>
        <family val="2"/>
        <charset val="1"/>
      </rPr>
      <t xml:space="preserve">P-A10—20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题：原文和出处已核；逐题提交时间未取得。</t>
    </r>
  </si>
  <si>
    <t xml:space="preserve">执行者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</si>
  <si>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助手，非新增人类独立复核；未填人工实验时间。</t>
    </r>
  </si>
  <si>
    <r>
      <rPr>
        <sz val="11"/>
        <color theme="1"/>
        <rFont val="Noto Sans CJK SC"/>
        <family val="2"/>
      </rPr>
      <t xml:space="preserve">保留候选，不进入严格时点实验；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候选</t>
    </r>
    <r>
      <rPr>
        <sz val="11"/>
        <color theme="1"/>
        <rFont val="Calibri"/>
        <family val="2"/>
        <charset val="1"/>
      </rPr>
      <t xml:space="preserve">/9</t>
    </r>
    <r>
      <rPr>
        <sz val="11"/>
        <color theme="1"/>
        <rFont val="Noto Sans CJK SC"/>
        <family val="2"/>
      </rPr>
      <t xml:space="preserve">已有精确时间</t>
    </r>
    <r>
      <rPr>
        <sz val="11"/>
        <color theme="1"/>
        <rFont val="Calibri"/>
        <family val="2"/>
        <charset val="1"/>
      </rPr>
      <t xml:space="preserve">/11</t>
    </r>
    <r>
      <rPr>
        <sz val="11"/>
        <color theme="1"/>
        <rFont val="Noto Sans CJK SC"/>
        <family val="2"/>
      </rPr>
      <t xml:space="preserve">时间未取得。</t>
    </r>
  </si>
  <si>
    <t xml:space="preserve">实际实验</t>
  </si>
  <si>
    <r>
      <rPr>
        <sz val="11"/>
        <color theme="1"/>
        <rFont val="Noto Sans CJK SC"/>
        <family val="2"/>
      </rPr>
      <t xml:space="preserve">两题八次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；零受控人工记录。</t>
    </r>
  </si>
  <si>
    <t xml:space="preserve">事后回复</t>
  </si>
  <si>
    <t xml:space="preserve">查阅来源时可见公司回复；仅核出处，不作输入或唯一答案。</t>
  </si>
  <si>
    <t xml:space="preserve">字节哈希</t>
  </si>
  <si>
    <t xml:space="preserve">原件哈希来自用户上传文件；未做官方在线字节相等检验。</t>
  </si>
  <si>
    <t xml:space="preserve">时间界限</t>
  </si>
  <si>
    <t xml:space="preserve">活动日、征集截止日、公告日期都不能充当逐题提交时间。</t>
  </si>
  <si>
    <t xml:space="preserve">题号</t>
  </si>
  <si>
    <t xml:space="preserve">公司</t>
  </si>
  <si>
    <t xml:space="preserve">原始问题（不改）</t>
  </si>
  <si>
    <r>
      <rPr>
        <b val="true"/>
        <sz val="11"/>
        <color rgb="FFFFFFFF"/>
        <rFont val="Noto Sans CJK SC"/>
        <family val="2"/>
      </rPr>
      <t xml:space="preserve">记录编号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问序</t>
    </r>
  </si>
  <si>
    <r>
      <rPr>
        <b val="true"/>
        <sz val="11"/>
        <color rgb="FFFFFFFF"/>
        <rFont val="Noto Sans CJK SC"/>
        <family val="2"/>
      </rPr>
      <t xml:space="preserve">原</t>
    </r>
    <r>
      <rPr>
        <b val="true"/>
        <sz val="11"/>
        <color rgb="FFFFFFFF"/>
        <rFont val="Cambria"/>
        <family val="0"/>
        <charset val="1"/>
      </rPr>
      <t xml:space="preserve">PDF</t>
    </r>
    <r>
      <rPr>
        <b val="true"/>
        <sz val="11"/>
        <color rgb="FFFFFFFF"/>
        <rFont val="Noto Sans CJK SC"/>
        <family val="2"/>
      </rPr>
      <t xml:space="preserve">物理页</t>
    </r>
  </si>
  <si>
    <r>
      <rPr>
        <b val="true"/>
        <sz val="11"/>
        <color rgb="FFFFFFFF"/>
        <rFont val="Noto Sans CJK SC"/>
        <family val="2"/>
      </rPr>
      <t xml:space="preserve">选编文件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物理页</t>
    </r>
  </si>
  <si>
    <t xml:space="preserve">原转载链接</t>
  </si>
  <si>
    <t xml:space="preserve">巨潮官方记录链接</t>
  </si>
  <si>
    <t xml:space="preserve">活动日期</t>
  </si>
  <si>
    <t xml:space="preserve">活动时段北京时间</t>
  </si>
  <si>
    <t xml:space="preserve">原文匹配</t>
  </si>
  <si>
    <t xml:space="preserve">出处状态</t>
  </si>
  <si>
    <t xml:space="preserve">逐题提问时间</t>
  </si>
  <si>
    <t xml:space="preserve">精度</t>
  </si>
  <si>
    <t xml:space="preserve">证据截止</t>
  </si>
  <si>
    <t xml:space="preserve">严格时点准入</t>
  </si>
  <si>
    <t xml:space="preserve">处理</t>
  </si>
  <si>
    <t xml:space="preserve">会前征集依据</t>
  </si>
  <si>
    <t xml:space="preserve">平台入口</t>
  </si>
  <si>
    <t xml:space="preserve">未取得时间原因</t>
  </si>
  <si>
    <t xml:space="preserve">核验执行者</t>
  </si>
  <si>
    <t xml:space="preserve">核验时间</t>
  </si>
  <si>
    <t xml:space="preserve">看到公司回复</t>
  </si>
  <si>
    <t xml:space="preserve">是否用回复作输入</t>
  </si>
  <si>
    <t xml:space="preserve">P-A10</t>
  </si>
  <si>
    <t xml:space="preserve">老板电器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</si>
  <si>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年度，公司在新品研发方面共投入了多少研发费用？这些投入具体转化为了多少款具有市场竞争力或技术突破性的新品？这些新品在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年度的市场接受度及销售贡献如何量化？</t>
    </r>
  </si>
  <si>
    <t xml:space="preserve">2026-001/1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</si>
  <si>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#1</t>
    </r>
  </si>
  <si>
    <t xml:space="preserve">https://file.finance.sina.com.cn/211.154.219.97:9494/MRGG/CNSESZ_STOCK/2026/2026-5/2026-05-13/12317681.PDF</t>
  </si>
  <si>
    <t xml:space="preserve">https://static.cninfo.com.cn/finalpage/2026-05-13/1225304104.PDF</t>
  </si>
  <si>
    <t xml:space="preserve">2026-05-13</t>
  </si>
  <si>
    <t xml:space="preserve">2026-05-13 15:00—17:00</t>
  </si>
  <si>
    <t xml:space="preserve">全文匹配</t>
  </si>
  <si>
    <t xml:space="preserve">已核</t>
  </si>
  <si>
    <r>
      <rPr>
        <sz val="11"/>
        <color theme="1"/>
        <rFont val="Noto Sans CJK SC"/>
        <family val="2"/>
      </rPr>
      <t xml:space="preserve">未取得逐题提交时间；仅活动日期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时段可证</t>
    </r>
  </si>
  <si>
    <t xml:space="preserve">否</t>
  </si>
  <si>
    <t xml:space="preserve">保留候选及缺失记录；本轮不纳入严格时点质量实验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</si>
  <si>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前通过全景网征集页提问；不是这五题逐题的提交日期。 </t>
    </r>
    <r>
      <rPr>
        <sz val="11"/>
        <color theme="1"/>
        <rFont val="Calibri"/>
        <family val="2"/>
        <charset val="1"/>
      </rPr>
      <t xml:space="preserve">https://static.cninfo.com.cn/finalpage/2026-04-29/1225237778.PDF</t>
    </r>
  </si>
  <si>
    <t xml:space="preserve">https://rs.p5w.net/investor/002508</t>
  </si>
  <si>
    <t xml:space="preserve">所查公告仅列活动时间；平台本次可读取页面未提供逐题提交字段。未将活动日、回复日、公告路径日期或征集截止日写入提问时间。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</si>
  <si>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助手来源核验；不冒充新增人类独立复核</t>
    </r>
  </si>
  <si>
    <t xml:space="preserve">是</t>
  </si>
  <si>
    <t xml:space="preserve">P-A11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</si>
  <si>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年度公司在成本控制方面采取了哪些具体措施？这些措施在原材料采购、生产制造、物流仓储等环节分别取得了哪些具体的成本节约成效？与年初设定的成本控制目标相比，完成情况如何？</t>
    </r>
  </si>
  <si>
    <t xml:space="preserve">2026-001/2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</si>
  <si>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#2</t>
    </r>
  </si>
  <si>
    <t xml:space="preserve">P-A12</t>
  </si>
  <si>
    <r>
      <rPr>
        <sz val="11"/>
        <color theme="1"/>
        <rFont val="Noto Sans CJK SC"/>
        <family val="2"/>
      </rPr>
      <t xml:space="preserve">年度报告中提到的“市场竞争加剧”因素，公司在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年度具体的应对策略，例如，价格策略调整、营销活动创新、服务升级等有没有？这些策略的实施效果如何，是否有效提升了市场份额或品牌美誉度？</t>
    </r>
  </si>
  <si>
    <t xml:space="preserve">2026-001/3</t>
  </si>
  <si>
    <t xml:space="preserve">P-A13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</si>
  <si>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年公司在海外市场的拓展取得了哪些具体进展？</t>
    </r>
  </si>
  <si>
    <t xml:space="preserve">2026-001/4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</si>
  <si>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#3</t>
    </r>
  </si>
  <si>
    <t xml:space="preserve">P-A14</t>
  </si>
  <si>
    <r>
      <rPr>
        <sz val="11"/>
        <color theme="1"/>
        <rFont val="Noto Sans CJK SC"/>
        <family val="2"/>
      </rPr>
      <t xml:space="preserve">领导，您好！我来自四川大决策。请问，地产后周期拖累减弱，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端（工程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整装）与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端（零售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换新）占比变化，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端复苏力度？</t>
    </r>
  </si>
  <si>
    <t xml:space="preserve">2026-001/5</t>
  </si>
  <si>
    <t xml:space="preserve">P-A15</t>
  </si>
  <si>
    <t xml:space="preserve">立讯精密</t>
  </si>
  <si>
    <t xml:space="preserve">您好，我们有回购股票并注销的方案吗？</t>
  </si>
  <si>
    <t xml:space="preserve">2026-002/42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</si>
  <si>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#3</t>
    </r>
  </si>
  <si>
    <t xml:space="preserve">https://file.finance.sina.com.cn/211.154.219.97:9494/MRGG/CNSESZ_STOCK/2026/2026-5/2026-05-07/12300590.PDF</t>
  </si>
  <si>
    <t xml:space="preserve">https://static.cninfo.com.cn/finalpage/2026-05-07/1225280960.PDF</t>
  </si>
  <si>
    <t xml:space="preserve">2026-05-06</t>
  </si>
  <si>
    <t xml:space="preserve">2026-05-06 15:00—17:00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</si>
  <si>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2026-04-30 18:00</t>
    </r>
    <r>
      <rPr>
        <sz val="11"/>
        <color theme="1"/>
        <rFont val="Noto Sans CJK SC"/>
        <family val="2"/>
      </rPr>
      <t xml:space="preserve">前邮件征集；不能据此断言这六题均经邮箱提交，也不能推出各题提交时点。 </t>
    </r>
    <r>
      <rPr>
        <sz val="11"/>
        <color theme="1"/>
        <rFont val="Calibri"/>
        <family val="2"/>
        <charset val="1"/>
      </rPr>
      <t xml:space="preserve">https://static.cninfo.com.cn/finalpage/2026-04-22/1225135728.PDF</t>
    </r>
  </si>
  <si>
    <t xml:space="preserve">https://rs.p5w.net/roadshowLive/index.shtml?roadshowId=0001FFC747A369CF400E98FF479DDFF3E30D</t>
  </si>
  <si>
    <t xml:space="preserve">P-A16</t>
  </si>
  <si>
    <r>
      <rPr>
        <sz val="11"/>
        <color theme="1"/>
        <rFont val="Noto Sans CJK SC"/>
        <family val="2"/>
      </rPr>
      <t xml:space="preserve">按照公司的最新规划，光模块业务何时能做到行业第三？应该比之前预计的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年提早了吧？</t>
    </r>
  </si>
  <si>
    <t xml:space="preserve">2026-002/2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</si>
  <si>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#1</t>
    </r>
  </si>
  <si>
    <t xml:space="preserve">P-A17</t>
  </si>
  <si>
    <t xml:space="preserve">对于目前股价，公司认为是否合理，或者公司的期许或目标是？</t>
  </si>
  <si>
    <t xml:space="preserve">2026-002/14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</si>
  <si>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#2</t>
    </r>
  </si>
  <si>
    <t xml:space="preserve">P-A18</t>
  </si>
  <si>
    <r>
      <rPr>
        <sz val="11"/>
        <color theme="1"/>
        <rFont val="Noto Sans CJK SC"/>
        <family val="2"/>
      </rPr>
      <t xml:space="preserve">请问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智能手机是公司全部代工吗？</t>
    </r>
  </si>
  <si>
    <t xml:space="preserve">2026-002/18</t>
  </si>
  <si>
    <t xml:space="preserve">P-A19</t>
  </si>
  <si>
    <r>
      <rPr>
        <sz val="11"/>
        <color theme="1"/>
        <rFont val="Noto Sans CJK SC"/>
        <family val="2"/>
      </rPr>
      <t xml:space="preserve">能否提供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服务器全年订单量和毛利率目标数据？</t>
    </r>
  </si>
  <si>
    <t xml:space="preserve">2026-002/67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</si>
  <si>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#4</t>
    </r>
  </si>
  <si>
    <t xml:space="preserve">P-A20</t>
  </si>
  <si>
    <r>
      <rPr>
        <sz val="11"/>
        <color theme="1"/>
        <rFont val="Noto Sans CJK SC"/>
        <family val="2"/>
      </rPr>
      <t xml:space="preserve">您好，截止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日的股东人数是多少？</t>
    </r>
  </si>
  <si>
    <t xml:space="preserve">2026-002/85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</si>
  <si>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#5</t>
    </r>
  </si>
  <si>
    <t xml:space="preserve">材料类型</t>
  </si>
  <si>
    <t xml:space="preserve">编号</t>
  </si>
  <si>
    <t xml:space="preserve">链接</t>
  </si>
  <si>
    <t xml:space="preserve">活动记录全文</t>
  </si>
  <si>
    <t xml:space="preserve">2026-001</t>
  </si>
  <si>
    <t xml:space="preserve">原文、编号、活动日与上传原件核对；未进行线上字节哈希相等检验</t>
  </si>
  <si>
    <t xml:space="preserve">说明会预告及征集说明</t>
  </si>
  <si>
    <t xml:space="preserve">2026-023</t>
  </si>
  <si>
    <t xml:space="preserve">https://static.cninfo.com.cn/finalpage/2026-04-29/1225237778.PDF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</si>
  <si>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前通过全景网征集页提问；不是这五题逐题的提交日期。</t>
    </r>
  </si>
  <si>
    <t xml:space="preserve">立讯旧活动页可读活动日和时段，未读到逐题时间；老板路演厅重定向的新页未返回可用正文。</t>
  </si>
  <si>
    <t xml:space="preserve">2026-002</t>
  </si>
  <si>
    <t xml:space="preserve">2026-040</t>
  </si>
  <si>
    <t xml:space="preserve">https://static.cninfo.com.cn/finalpage/2026-04-22/1225135728.PDF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</si>
  <si>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2026-04-30 18:00</t>
    </r>
    <r>
      <rPr>
        <sz val="11"/>
        <color theme="1"/>
        <rFont val="Noto Sans CJK SC"/>
        <family val="2"/>
      </rPr>
      <t xml:space="preserve">前邮件征集；不能据此断言这六题均经邮箱提交，也不能推出各题提交时点。</t>
    </r>
  </si>
  <si>
    <t xml:space="preserve">实际检索词</t>
  </si>
  <si>
    <t xml:space="preserve">打开的官方记录</t>
  </si>
  <si>
    <t xml:space="preserve">本地原页</t>
  </si>
  <si>
    <t xml:space="preserve">检索结果</t>
  </si>
  <si>
    <t xml:space="preserve">人工分钟</t>
  </si>
  <si>
    <r>
      <rPr>
        <sz val="11"/>
        <color theme="1"/>
        <rFont val="Calibri"/>
        <family val="2"/>
        <charset val="1"/>
      </rPr>
      <t xml:space="preserve">"2025</t>
    </r>
    <r>
      <rPr>
        <sz val="11"/>
        <color theme="1"/>
        <rFont val="Noto Sans CJK SC"/>
        <family val="2"/>
      </rPr>
      <t xml:space="preserve">年度，公司在新品研发方面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提问</t>
    </r>
    <r>
      <rPr>
        <sz val="11"/>
        <color theme="1"/>
        <rFont val="Calibri"/>
        <family val="2"/>
        <charset val="1"/>
      </rPr>
      <t xml:space="preserve">"</t>
    </r>
  </si>
  <si>
    <t xml:space="preserve">出处及原文匹配；未取得逐题提问时间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</si>
  <si>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助手</t>
    </r>
  </si>
  <si>
    <r>
      <rPr>
        <sz val="11"/>
        <color theme="1"/>
        <rFont val="Calibri"/>
        <family val="2"/>
        <charset val="1"/>
      </rPr>
      <t xml:space="preserve">"2025</t>
    </r>
    <r>
      <rPr>
        <sz val="11"/>
        <color theme="1"/>
        <rFont val="Noto Sans CJK SC"/>
        <family val="2"/>
      </rPr>
      <t xml:space="preserve">年度公司在成本控制方面采取了哪些具体措施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</si>
  <si>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市场竞争加剧</t>
    </r>
    <r>
      <rPr>
        <sz val="11"/>
        <color theme="1"/>
        <rFont val="Calibri"/>
        <family val="2"/>
        <charset val="1"/>
      </rPr>
      <t xml:space="preserve">" "2025" "</t>
    </r>
    <r>
      <rPr>
        <sz val="11"/>
        <color theme="1"/>
        <rFont val="Noto Sans CJK SC"/>
        <family val="2"/>
      </rPr>
      <t xml:space="preserve">提问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</si>
  <si>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" "2025</t>
    </r>
    <r>
      <rPr>
        <sz val="11"/>
        <color theme="1"/>
        <rFont val="Noto Sans CJK SC"/>
        <family val="2"/>
      </rPr>
      <t xml:space="preserve">年公司在海外市场的拓展取得了哪些具体进展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</si>
  <si>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四川大决策</t>
    </r>
    <r>
      <rPr>
        <sz val="11"/>
        <color theme="1"/>
        <rFont val="Calibri"/>
        <family val="2"/>
        <charset val="1"/>
      </rPr>
      <t xml:space="preserve">" "C</t>
    </r>
    <r>
      <rPr>
        <sz val="11"/>
        <color theme="1"/>
        <rFont val="Noto Sans CJK SC"/>
        <family val="2"/>
      </rPr>
      <t xml:space="preserve">端复苏力度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</si>
  <si>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有回购股票并注销的方案吗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</si>
  <si>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光模块业务何时能做到行业第三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</si>
  <si>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对于目前股价，公司认为是否合理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</si>
  <si>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请问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智能手机是公司全部代工吗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</si>
  <si>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能否提供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服务器全年订单量和毛利率目标数据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</si>
  <si>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" "</t>
    </r>
    <r>
      <rPr>
        <sz val="11"/>
        <color theme="1"/>
        <rFont val="Noto Sans CJK SC"/>
        <family val="2"/>
      </rPr>
      <t xml:space="preserve">截止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日的股东人数是多少</t>
    </r>
    <r>
      <rPr>
        <sz val="11"/>
        <color theme="1"/>
        <rFont val="Calibri"/>
        <family val="2"/>
        <charset val="1"/>
      </rPr>
      <t xml:space="preserve">"</t>
    </r>
  </si>
  <si>
    <t xml:space="preserve">指标</t>
  </si>
  <si>
    <t xml:space="preserve">值或公式</t>
  </si>
  <si>
    <t xml:space="preserve">范围</t>
  </si>
  <si>
    <t xml:space="preserve">本轮题数</t>
  </si>
  <si>
    <t xml:space="preserve">P-A10—20</t>
  </si>
  <si>
    <t xml:space="preserve">原文出处确认数</t>
  </si>
  <si>
    <t xml:space="preserve">来源已核不等于时间合格</t>
  </si>
  <si>
    <t xml:space="preserve">新增逐题时间</t>
  </si>
  <si>
    <r>
      <rPr>
        <sz val="11"/>
        <color theme="1"/>
        <rFont val="Noto Sans CJK SC"/>
        <family val="2"/>
      </rPr>
      <t xml:space="preserve">空白是缺失，未填日期</t>
    </r>
    <r>
      <rPr>
        <sz val="11"/>
        <color theme="1"/>
        <rFont val="Calibri"/>
        <family val="2"/>
        <charset val="1"/>
      </rPr>
      <t xml:space="preserve">0</t>
    </r>
  </si>
  <si>
    <t xml:space="preserve">候选池</t>
  </si>
  <si>
    <t xml:space="preserve">没有新增或替换题</t>
  </si>
  <si>
    <t xml:space="preserve">已有精确时间</t>
  </si>
  <si>
    <r>
      <rPr>
        <sz val="11"/>
        <color theme="1"/>
        <rFont val="Noto Sans CJK SC"/>
        <family val="2"/>
      </rPr>
      <t xml:space="preserve">沿用既有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题，非本轮新增</t>
    </r>
  </si>
  <si>
    <t xml:space="preserve">时间未取得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</si>
  <si>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题</t>
    </r>
  </si>
  <si>
    <r>
      <rPr>
        <sz val="11"/>
        <color theme="1"/>
        <rFont val="Noto Sans CJK SC"/>
        <family val="2"/>
      </rPr>
      <t xml:space="preserve">实际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题数</t>
    </r>
  </si>
  <si>
    <t xml:space="preserve">未扩展</t>
  </si>
  <si>
    <r>
      <rPr>
        <sz val="11"/>
        <color theme="1"/>
        <rFont val="Noto Sans CJK SC"/>
        <family val="2"/>
      </rPr>
      <t xml:space="preserve">实际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输出</t>
    </r>
  </si>
  <si>
    <t xml:space="preserve">受控人工记录</t>
  </si>
  <si>
    <t xml:space="preserve">来源查阅不算人工写作实验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</si>
</sst>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576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5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7.15" hidden="false" customHeight="false" outlineLevel="0" collapsed="false">
      <c r="A1" s="1" t="s">
        <v>0</v>
      </c>
      <c r="B1" s="1" t="s">
        <v>1</v>
      </c>
    </row>
    <row r="2" customFormat="false" ht="91.5" hidden="false" customHeight="true" outlineLevel="0" collapsed="false">
      <c r="A2" s="2" t="s">
        <v>2</v>
      </c>
      <c r="B2" s="3" t="s">
        <v>3</v>
      </c>
    </row>
    <row r="3" customFormat="false" ht="91.5" hidden="false" customHeight="true" outlineLevel="0" collapsed="false">
      <c r="A3" s="2" t="s">
        <v>4</v>
      </c>
      <c r="B3" s="3" t="s">
        <v>5</v>
      </c>
    </row>
    <row r="4" customFormat="false" ht="91.5" hidden="false" customHeight="true" outlineLevel="0" collapsed="false">
      <c r="A4" s="2" t="s">
        <v>6</v>
      </c>
      <c r="B4" s="3" t="s">
        <v>7</v>
      </c>
    </row>
    <row r="5" customFormat="false" ht="91.5" hidden="false" customHeight="true" outlineLevel="0" collapsed="false">
      <c r="A5" s="2" t="s">
        <v>1</v>
      </c>
      <c r="B5" s="2" t="s">
        <v>8</v>
      </c>
    </row>
    <row r="6" customFormat="false" ht="91.5" hidden="false" customHeight="true" outlineLevel="0" collapsed="false">
      <c r="A6" s="2" t="s">
        <v>9</v>
      </c>
      <c r="B6" s="2" t="s">
        <v>10</v>
      </c>
    </row>
    <row r="7" customFormat="false" ht="91.5" hidden="false" customHeight="true" outlineLevel="0" collapsed="false">
      <c r="A7" s="2" t="s">
        <v>11</v>
      </c>
      <c r="B7" s="2" t="s">
        <v>12</v>
      </c>
    </row>
    <row r="8" customFormat="false" ht="91.5" hidden="false" customHeight="true" outlineLevel="0" collapsed="false">
      <c r="A8" s="2" t="s">
        <v>13</v>
      </c>
      <c r="B8" s="2" t="s">
        <v>14</v>
      </c>
    </row>
    <row r="9" customFormat="false" ht="91.5" hidden="false" customHeight="true" outlineLevel="0" collapsed="false">
      <c r="A9" s="2" t="s">
        <v>15</v>
      </c>
      <c r="B9" s="2" t="s">
        <v>16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70"/>
    <col collapsed="false" customWidth="true" hidden="false" outlineLevel="0" max="6" min="4" style="0" width="24"/>
    <col collapsed="false" customWidth="true" hidden="false" outlineLevel="0" max="8" min="7" style="0" width="55"/>
    <col collapsed="false" customWidth="true" hidden="false" outlineLevel="0" max="17" min="9" style="0" width="24"/>
    <col collapsed="false" customWidth="true" hidden="false" outlineLevel="0" max="20" min="18" style="0" width="55"/>
    <col collapsed="false" customWidth="true" hidden="false" outlineLevel="0" max="24" min="21" style="0" width="24"/>
  </cols>
  <sheetData>
    <row r="1" customFormat="false" ht="17.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</row>
    <row r="2" customFormat="false" ht="91.5" hidden="false" customHeight="true" outlineLevel="0" collapsed="false">
      <c r="A2" s="3" t="s">
        <v>41</v>
      </c>
      <c r="B2" s="2" t="s">
        <v>42</v>
      </c>
      <c r="C2" s="3" t="s">
        <v>43</v>
      </c>
      <c r="D2" s="3" t="s">
        <v>44</v>
      </c>
      <c r="E2" s="3" t="n">
        <v>1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2" t="s">
        <v>50</v>
      </c>
      <c r="L2" s="2" t="s">
        <v>51</v>
      </c>
      <c r="M2" s="3"/>
      <c r="N2" s="2" t="s">
        <v>52</v>
      </c>
      <c r="O2" s="3"/>
      <c r="P2" s="2" t="s">
        <v>53</v>
      </c>
      <c r="Q2" s="2" t="s">
        <v>54</v>
      </c>
      <c r="R2" s="2" t="s">
        <v>55</v>
      </c>
      <c r="S2" s="3" t="s">
        <v>56</v>
      </c>
      <c r="T2" s="2" t="s">
        <v>57</v>
      </c>
      <c r="U2" s="3" t="s">
        <v>58</v>
      </c>
      <c r="V2" s="3" t="s">
        <v>3</v>
      </c>
      <c r="W2" s="2" t="s">
        <v>59</v>
      </c>
      <c r="X2" s="2" t="s">
        <v>53</v>
      </c>
    </row>
    <row r="3" customFormat="false" ht="91.5" hidden="false" customHeight="true" outlineLevel="0" collapsed="false">
      <c r="A3" s="3" t="s">
        <v>60</v>
      </c>
      <c r="B3" s="2" t="s">
        <v>42</v>
      </c>
      <c r="C3" s="3" t="s">
        <v>61</v>
      </c>
      <c r="D3" s="3" t="s">
        <v>62</v>
      </c>
      <c r="E3" s="3" t="n">
        <v>2</v>
      </c>
      <c r="F3" s="3" t="s">
        <v>63</v>
      </c>
      <c r="G3" s="3" t="s">
        <v>46</v>
      </c>
      <c r="H3" s="3" t="s">
        <v>47</v>
      </c>
      <c r="I3" s="3" t="s">
        <v>48</v>
      </c>
      <c r="J3" s="3" t="s">
        <v>49</v>
      </c>
      <c r="K3" s="2" t="s">
        <v>50</v>
      </c>
      <c r="L3" s="2" t="s">
        <v>51</v>
      </c>
      <c r="M3" s="3"/>
      <c r="N3" s="2" t="s">
        <v>52</v>
      </c>
      <c r="O3" s="3"/>
      <c r="P3" s="2" t="s">
        <v>53</v>
      </c>
      <c r="Q3" s="2" t="s">
        <v>54</v>
      </c>
      <c r="R3" s="2" t="s">
        <v>55</v>
      </c>
      <c r="S3" s="3" t="s">
        <v>56</v>
      </c>
      <c r="T3" s="2" t="s">
        <v>57</v>
      </c>
      <c r="U3" s="3" t="s">
        <v>58</v>
      </c>
      <c r="V3" s="3" t="s">
        <v>3</v>
      </c>
      <c r="W3" s="2" t="s">
        <v>59</v>
      </c>
      <c r="X3" s="2" t="s">
        <v>53</v>
      </c>
    </row>
    <row r="4" customFormat="false" ht="91.5" hidden="false" customHeight="true" outlineLevel="0" collapsed="false">
      <c r="A4" s="3" t="s">
        <v>64</v>
      </c>
      <c r="B4" s="2" t="s">
        <v>42</v>
      </c>
      <c r="C4" s="2" t="s">
        <v>65</v>
      </c>
      <c r="D4" s="3" t="s">
        <v>66</v>
      </c>
      <c r="E4" s="3" t="n">
        <v>2</v>
      </c>
      <c r="F4" s="3" t="s">
        <v>63</v>
      </c>
      <c r="G4" s="3" t="s">
        <v>46</v>
      </c>
      <c r="H4" s="3" t="s">
        <v>47</v>
      </c>
      <c r="I4" s="3" t="s">
        <v>48</v>
      </c>
      <c r="J4" s="3" t="s">
        <v>49</v>
      </c>
      <c r="K4" s="2" t="s">
        <v>50</v>
      </c>
      <c r="L4" s="2" t="s">
        <v>51</v>
      </c>
      <c r="M4" s="3"/>
      <c r="N4" s="2" t="s">
        <v>52</v>
      </c>
      <c r="O4" s="3"/>
      <c r="P4" s="2" t="s">
        <v>53</v>
      </c>
      <c r="Q4" s="2" t="s">
        <v>54</v>
      </c>
      <c r="R4" s="2" t="s">
        <v>55</v>
      </c>
      <c r="S4" s="3" t="s">
        <v>56</v>
      </c>
      <c r="T4" s="2" t="s">
        <v>57</v>
      </c>
      <c r="U4" s="3" t="s">
        <v>58</v>
      </c>
      <c r="V4" s="3" t="s">
        <v>3</v>
      </c>
      <c r="W4" s="2" t="s">
        <v>59</v>
      </c>
      <c r="X4" s="2" t="s">
        <v>53</v>
      </c>
    </row>
    <row r="5" customFormat="false" ht="91.5" hidden="false" customHeight="true" outlineLevel="0" collapsed="false">
      <c r="A5" s="3" t="s">
        <v>67</v>
      </c>
      <c r="B5" s="2" t="s">
        <v>42</v>
      </c>
      <c r="C5" s="3" t="s">
        <v>68</v>
      </c>
      <c r="D5" s="3" t="s">
        <v>69</v>
      </c>
      <c r="E5" s="3" t="n">
        <v>3</v>
      </c>
      <c r="F5" s="3" t="s">
        <v>70</v>
      </c>
      <c r="G5" s="3" t="s">
        <v>46</v>
      </c>
      <c r="H5" s="3" t="s">
        <v>47</v>
      </c>
      <c r="I5" s="3" t="s">
        <v>48</v>
      </c>
      <c r="J5" s="3" t="s">
        <v>49</v>
      </c>
      <c r="K5" s="2" t="s">
        <v>50</v>
      </c>
      <c r="L5" s="2" t="s">
        <v>51</v>
      </c>
      <c r="M5" s="3"/>
      <c r="N5" s="2" t="s">
        <v>52</v>
      </c>
      <c r="O5" s="3"/>
      <c r="P5" s="2" t="s">
        <v>53</v>
      </c>
      <c r="Q5" s="2" t="s">
        <v>54</v>
      </c>
      <c r="R5" s="2" t="s">
        <v>55</v>
      </c>
      <c r="S5" s="3" t="s">
        <v>56</v>
      </c>
      <c r="T5" s="2" t="s">
        <v>57</v>
      </c>
      <c r="U5" s="3" t="s">
        <v>58</v>
      </c>
      <c r="V5" s="3" t="s">
        <v>3</v>
      </c>
      <c r="W5" s="2" t="s">
        <v>59</v>
      </c>
      <c r="X5" s="2" t="s">
        <v>53</v>
      </c>
    </row>
    <row r="6" customFormat="false" ht="91.5" hidden="false" customHeight="true" outlineLevel="0" collapsed="false">
      <c r="A6" s="3" t="s">
        <v>71</v>
      </c>
      <c r="B6" s="2" t="s">
        <v>42</v>
      </c>
      <c r="C6" s="2" t="s">
        <v>72</v>
      </c>
      <c r="D6" s="3" t="s">
        <v>73</v>
      </c>
      <c r="E6" s="3" t="n">
        <v>3</v>
      </c>
      <c r="F6" s="3" t="s">
        <v>70</v>
      </c>
      <c r="G6" s="3" t="s">
        <v>46</v>
      </c>
      <c r="H6" s="3" t="s">
        <v>47</v>
      </c>
      <c r="I6" s="3" t="s">
        <v>48</v>
      </c>
      <c r="J6" s="3" t="s">
        <v>49</v>
      </c>
      <c r="K6" s="2" t="s">
        <v>50</v>
      </c>
      <c r="L6" s="2" t="s">
        <v>51</v>
      </c>
      <c r="M6" s="3"/>
      <c r="N6" s="2" t="s">
        <v>52</v>
      </c>
      <c r="O6" s="3"/>
      <c r="P6" s="2" t="s">
        <v>53</v>
      </c>
      <c r="Q6" s="2" t="s">
        <v>54</v>
      </c>
      <c r="R6" s="2" t="s">
        <v>55</v>
      </c>
      <c r="S6" s="3" t="s">
        <v>56</v>
      </c>
      <c r="T6" s="2" t="s">
        <v>57</v>
      </c>
      <c r="U6" s="3" t="s">
        <v>58</v>
      </c>
      <c r="V6" s="3" t="s">
        <v>3</v>
      </c>
      <c r="W6" s="2" t="s">
        <v>59</v>
      </c>
      <c r="X6" s="2" t="s">
        <v>53</v>
      </c>
    </row>
    <row r="7" customFormat="false" ht="91.5" hidden="false" customHeight="true" outlineLevel="0" collapsed="false">
      <c r="A7" s="3" t="s">
        <v>74</v>
      </c>
      <c r="B7" s="2" t="s">
        <v>75</v>
      </c>
      <c r="C7" s="2" t="s">
        <v>76</v>
      </c>
      <c r="D7" s="3" t="s">
        <v>77</v>
      </c>
      <c r="E7" s="3" t="n">
        <v>8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82</v>
      </c>
      <c r="K7" s="2" t="s">
        <v>50</v>
      </c>
      <c r="L7" s="2" t="s">
        <v>51</v>
      </c>
      <c r="M7" s="3"/>
      <c r="N7" s="2" t="s">
        <v>52</v>
      </c>
      <c r="O7" s="3"/>
      <c r="P7" s="2" t="s">
        <v>53</v>
      </c>
      <c r="Q7" s="2" t="s">
        <v>54</v>
      </c>
      <c r="R7" s="2" t="s">
        <v>83</v>
      </c>
      <c r="S7" s="3" t="s">
        <v>84</v>
      </c>
      <c r="T7" s="2" t="s">
        <v>57</v>
      </c>
      <c r="U7" s="3" t="s">
        <v>58</v>
      </c>
      <c r="V7" s="3" t="s">
        <v>3</v>
      </c>
      <c r="W7" s="2" t="s">
        <v>59</v>
      </c>
      <c r="X7" s="2" t="s">
        <v>53</v>
      </c>
    </row>
    <row r="8" customFormat="false" ht="91.5" hidden="false" customHeight="true" outlineLevel="0" collapsed="false">
      <c r="A8" s="3" t="s">
        <v>85</v>
      </c>
      <c r="B8" s="2" t="s">
        <v>75</v>
      </c>
      <c r="C8" s="2" t="s">
        <v>86</v>
      </c>
      <c r="D8" s="3" t="s">
        <v>87</v>
      </c>
      <c r="E8" s="3" t="n">
        <v>1</v>
      </c>
      <c r="F8" s="3" t="s">
        <v>88</v>
      </c>
      <c r="G8" s="3" t="s">
        <v>79</v>
      </c>
      <c r="H8" s="3" t="s">
        <v>80</v>
      </c>
      <c r="I8" s="3" t="s">
        <v>81</v>
      </c>
      <c r="J8" s="3" t="s">
        <v>82</v>
      </c>
      <c r="K8" s="2" t="s">
        <v>50</v>
      </c>
      <c r="L8" s="2" t="s">
        <v>51</v>
      </c>
      <c r="M8" s="3"/>
      <c r="N8" s="2" t="s">
        <v>52</v>
      </c>
      <c r="O8" s="3"/>
      <c r="P8" s="2" t="s">
        <v>53</v>
      </c>
      <c r="Q8" s="2" t="s">
        <v>54</v>
      </c>
      <c r="R8" s="2" t="s">
        <v>83</v>
      </c>
      <c r="S8" s="3" t="s">
        <v>84</v>
      </c>
      <c r="T8" s="2" t="s">
        <v>57</v>
      </c>
      <c r="U8" s="3" t="s">
        <v>58</v>
      </c>
      <c r="V8" s="3" t="s">
        <v>3</v>
      </c>
      <c r="W8" s="2" t="s">
        <v>59</v>
      </c>
      <c r="X8" s="2" t="s">
        <v>53</v>
      </c>
    </row>
    <row r="9" customFormat="false" ht="91.5" hidden="false" customHeight="true" outlineLevel="0" collapsed="false">
      <c r="A9" s="3" t="s">
        <v>89</v>
      </c>
      <c r="B9" s="2" t="s">
        <v>75</v>
      </c>
      <c r="C9" s="2" t="s">
        <v>90</v>
      </c>
      <c r="D9" s="3" t="s">
        <v>91</v>
      </c>
      <c r="E9" s="3" t="n">
        <v>3</v>
      </c>
      <c r="F9" s="3" t="s">
        <v>92</v>
      </c>
      <c r="G9" s="3" t="s">
        <v>79</v>
      </c>
      <c r="H9" s="3" t="s">
        <v>80</v>
      </c>
      <c r="I9" s="3" t="s">
        <v>81</v>
      </c>
      <c r="J9" s="3" t="s">
        <v>82</v>
      </c>
      <c r="K9" s="2" t="s">
        <v>50</v>
      </c>
      <c r="L9" s="2" t="s">
        <v>51</v>
      </c>
      <c r="M9" s="3"/>
      <c r="N9" s="2" t="s">
        <v>52</v>
      </c>
      <c r="O9" s="3"/>
      <c r="P9" s="2" t="s">
        <v>53</v>
      </c>
      <c r="Q9" s="2" t="s">
        <v>54</v>
      </c>
      <c r="R9" s="2" t="s">
        <v>83</v>
      </c>
      <c r="S9" s="3" t="s">
        <v>84</v>
      </c>
      <c r="T9" s="2" t="s">
        <v>57</v>
      </c>
      <c r="U9" s="3" t="s">
        <v>58</v>
      </c>
      <c r="V9" s="3" t="s">
        <v>3</v>
      </c>
      <c r="W9" s="2" t="s">
        <v>59</v>
      </c>
      <c r="X9" s="2" t="s">
        <v>53</v>
      </c>
    </row>
    <row r="10" customFormat="false" ht="91.5" hidden="false" customHeight="true" outlineLevel="0" collapsed="false">
      <c r="A10" s="3" t="s">
        <v>93</v>
      </c>
      <c r="B10" s="2" t="s">
        <v>75</v>
      </c>
      <c r="C10" s="2" t="s">
        <v>94</v>
      </c>
      <c r="D10" s="3" t="s">
        <v>95</v>
      </c>
      <c r="E10" s="3" t="n">
        <v>3</v>
      </c>
      <c r="F10" s="3" t="s">
        <v>92</v>
      </c>
      <c r="G10" s="3" t="s">
        <v>79</v>
      </c>
      <c r="H10" s="3" t="s">
        <v>80</v>
      </c>
      <c r="I10" s="3" t="s">
        <v>81</v>
      </c>
      <c r="J10" s="3" t="s">
        <v>82</v>
      </c>
      <c r="K10" s="2" t="s">
        <v>50</v>
      </c>
      <c r="L10" s="2" t="s">
        <v>51</v>
      </c>
      <c r="M10" s="3"/>
      <c r="N10" s="2" t="s">
        <v>52</v>
      </c>
      <c r="O10" s="3"/>
      <c r="P10" s="2" t="s">
        <v>53</v>
      </c>
      <c r="Q10" s="2" t="s">
        <v>54</v>
      </c>
      <c r="R10" s="2" t="s">
        <v>83</v>
      </c>
      <c r="S10" s="3" t="s">
        <v>84</v>
      </c>
      <c r="T10" s="2" t="s">
        <v>57</v>
      </c>
      <c r="U10" s="3" t="s">
        <v>58</v>
      </c>
      <c r="V10" s="3" t="s">
        <v>3</v>
      </c>
      <c r="W10" s="2" t="s">
        <v>59</v>
      </c>
      <c r="X10" s="2" t="s">
        <v>53</v>
      </c>
    </row>
    <row r="11" customFormat="false" ht="91.5" hidden="false" customHeight="true" outlineLevel="0" collapsed="false">
      <c r="A11" s="3" t="s">
        <v>96</v>
      </c>
      <c r="B11" s="2" t="s">
        <v>75</v>
      </c>
      <c r="C11" s="2" t="s">
        <v>97</v>
      </c>
      <c r="D11" s="3" t="s">
        <v>98</v>
      </c>
      <c r="E11" s="3" t="n">
        <v>11</v>
      </c>
      <c r="F11" s="3" t="s">
        <v>99</v>
      </c>
      <c r="G11" s="3" t="s">
        <v>79</v>
      </c>
      <c r="H11" s="3" t="s">
        <v>80</v>
      </c>
      <c r="I11" s="3" t="s">
        <v>81</v>
      </c>
      <c r="J11" s="3" t="s">
        <v>82</v>
      </c>
      <c r="K11" s="2" t="s">
        <v>50</v>
      </c>
      <c r="L11" s="2" t="s">
        <v>51</v>
      </c>
      <c r="M11" s="3"/>
      <c r="N11" s="2" t="s">
        <v>52</v>
      </c>
      <c r="O11" s="3"/>
      <c r="P11" s="2" t="s">
        <v>53</v>
      </c>
      <c r="Q11" s="2" t="s">
        <v>54</v>
      </c>
      <c r="R11" s="2" t="s">
        <v>83</v>
      </c>
      <c r="S11" s="3" t="s">
        <v>84</v>
      </c>
      <c r="T11" s="2" t="s">
        <v>57</v>
      </c>
      <c r="U11" s="3" t="s">
        <v>58</v>
      </c>
      <c r="V11" s="3" t="s">
        <v>3</v>
      </c>
      <c r="W11" s="2" t="s">
        <v>59</v>
      </c>
      <c r="X11" s="2" t="s">
        <v>53</v>
      </c>
    </row>
    <row r="12" customFormat="false" ht="91.5" hidden="false" customHeight="true" outlineLevel="0" collapsed="false">
      <c r="A12" s="3" t="s">
        <v>100</v>
      </c>
      <c r="B12" s="2" t="s">
        <v>75</v>
      </c>
      <c r="C12" s="2" t="s">
        <v>101</v>
      </c>
      <c r="D12" s="3" t="s">
        <v>102</v>
      </c>
      <c r="E12" s="3" t="n">
        <v>14</v>
      </c>
      <c r="F12" s="3" t="s">
        <v>103</v>
      </c>
      <c r="G12" s="3" t="s">
        <v>79</v>
      </c>
      <c r="H12" s="3" t="s">
        <v>80</v>
      </c>
      <c r="I12" s="3" t="s">
        <v>81</v>
      </c>
      <c r="J12" s="3" t="s">
        <v>82</v>
      </c>
      <c r="K12" s="2" t="s">
        <v>50</v>
      </c>
      <c r="L12" s="2" t="s">
        <v>51</v>
      </c>
      <c r="M12" s="3"/>
      <c r="N12" s="2" t="s">
        <v>52</v>
      </c>
      <c r="O12" s="3"/>
      <c r="P12" s="2" t="s">
        <v>53</v>
      </c>
      <c r="Q12" s="2" t="s">
        <v>54</v>
      </c>
      <c r="R12" s="2" t="s">
        <v>83</v>
      </c>
      <c r="S12" s="3" t="s">
        <v>84</v>
      </c>
      <c r="T12" s="2" t="s">
        <v>57</v>
      </c>
      <c r="U12" s="3" t="s">
        <v>58</v>
      </c>
      <c r="V12" s="3" t="s">
        <v>3</v>
      </c>
      <c r="W12" s="2" t="s">
        <v>59</v>
      </c>
      <c r="X12" s="2" t="s">
        <v>53</v>
      </c>
    </row>
  </sheetData>
  <autoFilter ref="A1:X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  <col collapsed="false" customWidth="true" hidden="false" outlineLevel="0" max="5" min="4" style="0" width="80"/>
  </cols>
  <sheetData>
    <row r="1" customFormat="false" ht="17.15" hidden="false" customHeight="false" outlineLevel="0" collapsed="false">
      <c r="A1" s="1" t="s">
        <v>18</v>
      </c>
      <c r="B1" s="1" t="s">
        <v>104</v>
      </c>
      <c r="C1" s="1" t="s">
        <v>105</v>
      </c>
      <c r="D1" s="1" t="s">
        <v>106</v>
      </c>
      <c r="E1" s="1" t="s">
        <v>4</v>
      </c>
    </row>
    <row r="2" customFormat="false" ht="91.5" hidden="false" customHeight="true" outlineLevel="0" collapsed="false">
      <c r="A2" s="2" t="s">
        <v>42</v>
      </c>
      <c r="B2" s="2" t="s">
        <v>107</v>
      </c>
      <c r="C2" s="3" t="s">
        <v>108</v>
      </c>
      <c r="D2" s="3" t="s">
        <v>47</v>
      </c>
      <c r="E2" s="2" t="s">
        <v>109</v>
      </c>
    </row>
    <row r="3" customFormat="false" ht="91.5" hidden="false" customHeight="true" outlineLevel="0" collapsed="false">
      <c r="A3" s="2" t="s">
        <v>42</v>
      </c>
      <c r="B3" s="2" t="s">
        <v>110</v>
      </c>
      <c r="C3" s="3" t="s">
        <v>111</v>
      </c>
      <c r="D3" s="3" t="s">
        <v>112</v>
      </c>
      <c r="E3" s="2" t="s">
        <v>113</v>
      </c>
    </row>
    <row r="4" customFormat="false" ht="91.5" hidden="false" customHeight="true" outlineLevel="0" collapsed="false">
      <c r="A4" s="2" t="s">
        <v>42</v>
      </c>
      <c r="B4" s="2" t="s">
        <v>35</v>
      </c>
      <c r="C4" s="3"/>
      <c r="D4" s="3" t="s">
        <v>56</v>
      </c>
      <c r="E4" s="2" t="s">
        <v>114</v>
      </c>
    </row>
    <row r="5" customFormat="false" ht="91.5" hidden="false" customHeight="true" outlineLevel="0" collapsed="false">
      <c r="A5" s="2" t="s">
        <v>75</v>
      </c>
      <c r="B5" s="2" t="s">
        <v>107</v>
      </c>
      <c r="C5" s="3" t="s">
        <v>115</v>
      </c>
      <c r="D5" s="3" t="s">
        <v>80</v>
      </c>
      <c r="E5" s="2" t="s">
        <v>109</v>
      </c>
    </row>
    <row r="6" customFormat="false" ht="91.5" hidden="false" customHeight="true" outlineLevel="0" collapsed="false">
      <c r="A6" s="2" t="s">
        <v>75</v>
      </c>
      <c r="B6" s="2" t="s">
        <v>110</v>
      </c>
      <c r="C6" s="3" t="s">
        <v>116</v>
      </c>
      <c r="D6" s="3" t="s">
        <v>117</v>
      </c>
      <c r="E6" s="2" t="s">
        <v>118</v>
      </c>
    </row>
    <row r="7" customFormat="false" ht="91.5" hidden="false" customHeight="true" outlineLevel="0" collapsed="false">
      <c r="A7" s="2" t="s">
        <v>75</v>
      </c>
      <c r="B7" s="2" t="s">
        <v>35</v>
      </c>
      <c r="C7" s="3"/>
      <c r="D7" s="3" t="s">
        <v>84</v>
      </c>
      <c r="E7" s="2" t="s">
        <v>114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8" min="4" style="0" width="24"/>
  </cols>
  <sheetData>
    <row r="1" customFormat="false" ht="17.15" hidden="false" customHeight="false" outlineLevel="0" collapsed="false">
      <c r="A1" s="1" t="s">
        <v>17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2</v>
      </c>
      <c r="G1" s="1" t="s">
        <v>123</v>
      </c>
      <c r="H1" s="1" t="s">
        <v>6</v>
      </c>
    </row>
    <row r="2" customFormat="false" ht="91.5" hidden="false" customHeight="true" outlineLevel="0" collapsed="false">
      <c r="A2" s="3" t="s">
        <v>41</v>
      </c>
      <c r="B2" s="3" t="s">
        <v>124</v>
      </c>
      <c r="C2" s="3" t="s">
        <v>47</v>
      </c>
      <c r="D2" s="3" t="n">
        <v>1</v>
      </c>
      <c r="E2" s="2" t="s">
        <v>125</v>
      </c>
      <c r="F2" s="3" t="s">
        <v>3</v>
      </c>
      <c r="G2" s="3"/>
      <c r="H2" s="3" t="s">
        <v>126</v>
      </c>
    </row>
    <row r="3" customFormat="false" ht="91.5" hidden="false" customHeight="true" outlineLevel="0" collapsed="false">
      <c r="A3" s="3" t="s">
        <v>60</v>
      </c>
      <c r="B3" s="3" t="s">
        <v>127</v>
      </c>
      <c r="C3" s="3" t="s">
        <v>47</v>
      </c>
      <c r="D3" s="3" t="n">
        <v>2</v>
      </c>
      <c r="E3" s="2" t="s">
        <v>125</v>
      </c>
      <c r="F3" s="3" t="s">
        <v>3</v>
      </c>
      <c r="G3" s="3"/>
      <c r="H3" s="3" t="s">
        <v>126</v>
      </c>
    </row>
    <row r="4" customFormat="false" ht="91.5" hidden="false" customHeight="true" outlineLevel="0" collapsed="false">
      <c r="A4" s="3" t="s">
        <v>64</v>
      </c>
      <c r="B4" s="3" t="s">
        <v>128</v>
      </c>
      <c r="C4" s="3" t="s">
        <v>47</v>
      </c>
      <c r="D4" s="3" t="n">
        <v>2</v>
      </c>
      <c r="E4" s="2" t="s">
        <v>125</v>
      </c>
      <c r="F4" s="3" t="s">
        <v>3</v>
      </c>
      <c r="G4" s="3"/>
      <c r="H4" s="3" t="s">
        <v>126</v>
      </c>
    </row>
    <row r="5" customFormat="false" ht="91.5" hidden="false" customHeight="true" outlineLevel="0" collapsed="false">
      <c r="A5" s="3" t="s">
        <v>67</v>
      </c>
      <c r="B5" s="3" t="s">
        <v>129</v>
      </c>
      <c r="C5" s="3" t="s">
        <v>47</v>
      </c>
      <c r="D5" s="3" t="n">
        <v>3</v>
      </c>
      <c r="E5" s="2" t="s">
        <v>125</v>
      </c>
      <c r="F5" s="3" t="s">
        <v>3</v>
      </c>
      <c r="G5" s="3"/>
      <c r="H5" s="3" t="s">
        <v>126</v>
      </c>
    </row>
    <row r="6" customFormat="false" ht="91.5" hidden="false" customHeight="true" outlineLevel="0" collapsed="false">
      <c r="A6" s="3" t="s">
        <v>71</v>
      </c>
      <c r="B6" s="3" t="s">
        <v>130</v>
      </c>
      <c r="C6" s="3" t="s">
        <v>47</v>
      </c>
      <c r="D6" s="3" t="n">
        <v>3</v>
      </c>
      <c r="E6" s="2" t="s">
        <v>125</v>
      </c>
      <c r="F6" s="3" t="s">
        <v>3</v>
      </c>
      <c r="G6" s="3"/>
      <c r="H6" s="3" t="s">
        <v>126</v>
      </c>
    </row>
    <row r="7" customFormat="false" ht="91.5" hidden="false" customHeight="true" outlineLevel="0" collapsed="false">
      <c r="A7" s="3" t="s">
        <v>74</v>
      </c>
      <c r="B7" s="3" t="s">
        <v>131</v>
      </c>
      <c r="C7" s="3" t="s">
        <v>80</v>
      </c>
      <c r="D7" s="3" t="n">
        <v>8</v>
      </c>
      <c r="E7" s="2" t="s">
        <v>125</v>
      </c>
      <c r="F7" s="3" t="s">
        <v>3</v>
      </c>
      <c r="G7" s="3"/>
      <c r="H7" s="3" t="s">
        <v>126</v>
      </c>
    </row>
    <row r="8" customFormat="false" ht="91.5" hidden="false" customHeight="true" outlineLevel="0" collapsed="false">
      <c r="A8" s="3" t="s">
        <v>85</v>
      </c>
      <c r="B8" s="3" t="s">
        <v>132</v>
      </c>
      <c r="C8" s="3" t="s">
        <v>80</v>
      </c>
      <c r="D8" s="3" t="n">
        <v>1</v>
      </c>
      <c r="E8" s="2" t="s">
        <v>125</v>
      </c>
      <c r="F8" s="3" t="s">
        <v>3</v>
      </c>
      <c r="G8" s="3"/>
      <c r="H8" s="3" t="s">
        <v>126</v>
      </c>
    </row>
    <row r="9" customFormat="false" ht="91.5" hidden="false" customHeight="true" outlineLevel="0" collapsed="false">
      <c r="A9" s="3" t="s">
        <v>89</v>
      </c>
      <c r="B9" s="3" t="s">
        <v>133</v>
      </c>
      <c r="C9" s="3" t="s">
        <v>80</v>
      </c>
      <c r="D9" s="3" t="n">
        <v>3</v>
      </c>
      <c r="E9" s="2" t="s">
        <v>125</v>
      </c>
      <c r="F9" s="3" t="s">
        <v>3</v>
      </c>
      <c r="G9" s="3"/>
      <c r="H9" s="3" t="s">
        <v>126</v>
      </c>
    </row>
    <row r="10" customFormat="false" ht="91.5" hidden="false" customHeight="true" outlineLevel="0" collapsed="false">
      <c r="A10" s="3" t="s">
        <v>93</v>
      </c>
      <c r="B10" s="3" t="s">
        <v>134</v>
      </c>
      <c r="C10" s="3" t="s">
        <v>80</v>
      </c>
      <c r="D10" s="3" t="n">
        <v>3</v>
      </c>
      <c r="E10" s="2" t="s">
        <v>125</v>
      </c>
      <c r="F10" s="3" t="s">
        <v>3</v>
      </c>
      <c r="G10" s="3"/>
      <c r="H10" s="3" t="s">
        <v>126</v>
      </c>
    </row>
    <row r="11" customFormat="false" ht="91.5" hidden="false" customHeight="true" outlineLevel="0" collapsed="false">
      <c r="A11" s="3" t="s">
        <v>96</v>
      </c>
      <c r="B11" s="3" t="s">
        <v>135</v>
      </c>
      <c r="C11" s="3" t="s">
        <v>80</v>
      </c>
      <c r="D11" s="3" t="n">
        <v>11</v>
      </c>
      <c r="E11" s="2" t="s">
        <v>125</v>
      </c>
      <c r="F11" s="3" t="s">
        <v>3</v>
      </c>
      <c r="G11" s="3"/>
      <c r="H11" s="3" t="s">
        <v>126</v>
      </c>
    </row>
    <row r="12" customFormat="false" ht="91.5" hidden="false" customHeight="true" outlineLevel="0" collapsed="false">
      <c r="A12" s="3" t="s">
        <v>100</v>
      </c>
      <c r="B12" s="3" t="s">
        <v>136</v>
      </c>
      <c r="C12" s="3" t="s">
        <v>80</v>
      </c>
      <c r="D12" s="3" t="n">
        <v>14</v>
      </c>
      <c r="E12" s="2" t="s">
        <v>125</v>
      </c>
      <c r="F12" s="3" t="s">
        <v>3</v>
      </c>
      <c r="G12" s="3"/>
      <c r="H12" s="3" t="s">
        <v>126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</cols>
  <sheetData>
    <row r="1" customFormat="false" ht="17.15" hidden="false" customHeight="false" outlineLevel="0" collapsed="false">
      <c r="A1" s="1" t="s">
        <v>137</v>
      </c>
      <c r="B1" s="1" t="s">
        <v>138</v>
      </c>
      <c r="C1" s="1" t="s">
        <v>139</v>
      </c>
    </row>
    <row r="2" customFormat="false" ht="91.5" hidden="false" customHeight="true" outlineLevel="0" collapsed="false">
      <c r="A2" s="2" t="s">
        <v>140</v>
      </c>
      <c r="B2" s="3" t="n">
        <v>11</v>
      </c>
      <c r="C2" s="3" t="s">
        <v>141</v>
      </c>
    </row>
    <row r="3" customFormat="false" ht="91.5" hidden="false" customHeight="true" outlineLevel="0" collapsed="false">
      <c r="A3" s="2" t="s">
        <v>142</v>
      </c>
      <c r="B3" s="3" t="n">
        <f aca="false">COUNTIF('01_十一题逐题核验'!L2:L12,"已核")</f>
        <v>11</v>
      </c>
      <c r="C3" s="2" t="s">
        <v>143</v>
      </c>
    </row>
    <row r="4" customFormat="false" ht="91.5" hidden="false" customHeight="true" outlineLevel="0" collapsed="false">
      <c r="A4" s="2" t="s">
        <v>144</v>
      </c>
      <c r="B4" s="3" t="n">
        <f aca="false">COUNTA('01_十一题逐题核验'!M2:M12)</f>
        <v>0</v>
      </c>
      <c r="C4" s="2" t="s">
        <v>145</v>
      </c>
    </row>
    <row r="5" customFormat="false" ht="91.5" hidden="false" customHeight="true" outlineLevel="0" collapsed="false">
      <c r="A5" s="2" t="s">
        <v>146</v>
      </c>
      <c r="B5" s="3" t="n">
        <v>20</v>
      </c>
      <c r="C5" s="2" t="s">
        <v>147</v>
      </c>
    </row>
    <row r="6" customFormat="false" ht="91.5" hidden="false" customHeight="true" outlineLevel="0" collapsed="false">
      <c r="A6" s="2" t="s">
        <v>148</v>
      </c>
      <c r="B6" s="3" t="n">
        <v>9</v>
      </c>
      <c r="C6" s="2" t="s">
        <v>149</v>
      </c>
    </row>
    <row r="7" customFormat="false" ht="91.5" hidden="false" customHeight="true" outlineLevel="0" collapsed="false">
      <c r="A7" s="2" t="s">
        <v>150</v>
      </c>
      <c r="B7" s="3" t="n">
        <f aca="false">B5-B6</f>
        <v>11</v>
      </c>
      <c r="C7" s="3" t="s">
        <v>151</v>
      </c>
    </row>
    <row r="8" customFormat="false" ht="91.5" hidden="false" customHeight="true" outlineLevel="0" collapsed="false">
      <c r="A8" s="2" t="s">
        <v>152</v>
      </c>
      <c r="B8" s="3" t="n">
        <v>2</v>
      </c>
      <c r="C8" s="2" t="s">
        <v>153</v>
      </c>
    </row>
    <row r="9" customFormat="false" ht="91.5" hidden="false" customHeight="true" outlineLevel="0" collapsed="false">
      <c r="A9" s="2" t="s">
        <v>154</v>
      </c>
      <c r="B9" s="3" t="n">
        <v>8</v>
      </c>
      <c r="C9" s="2" t="s">
        <v>153</v>
      </c>
    </row>
    <row r="10" customFormat="false" ht="91.5" hidden="false" customHeight="true" outlineLevel="0" collapsed="false">
      <c r="A10" s="2" t="s">
        <v>155</v>
      </c>
      <c r="B10" s="3" t="n">
        <v>0</v>
      </c>
      <c r="C10" s="2" t="s">
        <v>156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2026-10-29T01:58:17Z</dcterms:created>
  <dc:creator>openpyxl</dc:creator>
  <dc:description/>
  <dc:language>en-US</dc:language>
  <cp:lastModifiedBy/>
  <dcterms:modified xsi:type="dcterms:W3CDTF">2026-10-29T01:58:17Z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