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说明" sheetId="1" state="visible" r:id="rId1"/>
    <sheet xmlns:r="http://schemas.openxmlformats.org/officeDocument/2006/relationships" name="01_20题候选主表" sheetId="2" state="visible" r:id="rId2"/>
    <sheet xmlns:r="http://schemas.openxmlformats.org/officeDocument/2006/relationships" name="02_证据与页码" sheetId="3" state="visible" r:id="rId3"/>
    <sheet xmlns:r="http://schemas.openxmlformats.org/officeDocument/2006/relationships" name="03_参考答案_勿输入" sheetId="4" state="visible" r:id="rId4"/>
    <sheet xmlns:r="http://schemas.openxmlformats.org/officeDocument/2006/relationships" name="04_U与排除记录" sheetId="5" state="visible" r:id="rId5"/>
    <sheet xmlns:r="http://schemas.openxmlformats.org/officeDocument/2006/relationships" name="05_原件下载清单" sheetId="6" state="visible" r:id="rId6"/>
    <sheet xmlns:r="http://schemas.openxmlformats.org/officeDocument/2006/relationships" name="06_公司池与缺口" sheetId="7" state="visible" r:id="rId7"/>
    <sheet xmlns:r="http://schemas.openxmlformats.org/officeDocument/2006/relationships" name="07_文献矩阵" sheetId="8" state="visible" r:id="rId8"/>
    <sheet xmlns:r="http://schemas.openxmlformats.org/officeDocument/2006/relationships" name="08_文献页码" sheetId="9" state="visible" r:id="rId9"/>
    <sheet xmlns:r="http://schemas.openxmlformats.org/officeDocument/2006/relationships" name="09_三人人工任务" sheetId="10" state="visible" r:id="rId10"/>
    <sheet xmlns:r="http://schemas.openxmlformats.org/officeDocument/2006/relationships" name="10_数值复算" sheetId="11" state="visible" r:id="rId11"/>
    <sheet xmlns:r="http://schemas.openxmlformats.org/officeDocument/2006/relationships" name="11_交付与依赖" sheetId="12" state="visible" r:id="rId12"/>
    <sheet xmlns:r="http://schemas.openxmlformats.org/officeDocument/2006/relationships" name="12_8份原件归档" sheetId="13" state="visible" r:id="rId13"/>
    <sheet xmlns:r="http://schemas.openxmlformats.org/officeDocument/2006/relationships" name="13_原页核验记录" sheetId="14" state="visible" r:id="rId14"/>
    <sheet xmlns:r="http://schemas.openxmlformats.org/officeDocument/2006/relationships" name="14_两题连通交接" sheetId="15" state="visible" r:id="rId15"/>
    <sheet xmlns:r="http://schemas.openxmlformats.org/officeDocument/2006/relationships" name="15_A五题复核" sheetId="16" state="visible" r:id="rId16"/>
    <sheet xmlns:r="http://schemas.openxmlformats.org/officeDocument/2006/relationships" name="16_D独立核对" sheetId="17" state="visible" r:id="rId17"/>
  </sheets>
  <definedNames>
    <definedName name="_xlnm._FilterDatabase" localSheetId="0" hidden="1">'00_阅读说明'!$A$1:$C$13</definedName>
    <definedName name="_xlnm.Print_Titles" localSheetId="0">'00_阅读说明'!$1:$1</definedName>
    <definedName name="_xlnm._FilterDatabase" localSheetId="1" hidden="1">'01_20题候选主表'!$A$1:$R$21</definedName>
    <definedName name="_xlnm._FilterDatabase" localSheetId="2" hidden="1">'02_证据与页码'!$A$1:$P$22</definedName>
    <definedName name="_xlnm._FilterDatabase" localSheetId="3" hidden="1">'03_参考答案_勿输入'!$A$1:$G$21</definedName>
    <definedName name="_xlnm._FilterDatabase" localSheetId="4" hidden="1">'04_U与排除记录'!$A$1:$E$11</definedName>
    <definedName name="_xlnm.Print_Titles" localSheetId="4">'04_U与排除记录'!$1:$1</definedName>
    <definedName name="_xlnm._FilterDatabase" localSheetId="5" hidden="1">'05_原件下载清单'!$A$1:$H$12</definedName>
    <definedName name="_xlnm.Print_Titles" localSheetId="5">'05_原件下载清单'!$1:$1</definedName>
    <definedName name="_xlnm._FilterDatabase" localSheetId="6" hidden="1">'06_公司池与缺口'!$A$1:$F$9</definedName>
    <definedName name="_xlnm.Print_Titles" localSheetId="6">'06_公司池与缺口'!$1:$1</definedName>
    <definedName name="_xlnm._FilterDatabase" localSheetId="7" hidden="1">'07_文献矩阵'!$A$1:$N$4</definedName>
    <definedName name="_xlnm.Print_Titles" localSheetId="7">'07_文献矩阵'!$1:$1</definedName>
    <definedName name="_xlnm._FilterDatabase" localSheetId="8" hidden="1">'08_文献页码'!$A$1:$E$18</definedName>
    <definedName name="_xlnm.Print_Titles" localSheetId="8">'08_文献页码'!$1:$1</definedName>
    <definedName name="_xlnm._FilterDatabase" localSheetId="9" hidden="1">'09_三人人工任务'!$A$1:$J$49</definedName>
    <definedName name="_xlnm.Print_Titles" localSheetId="9">'09_三人人工任务'!$1:$1</definedName>
    <definedName name="_xlnm._FilterDatabase" localSheetId="10" hidden="1">'10_数值复算'!$A$1:$F$10</definedName>
    <definedName name="_xlnm.Print_Titles" localSheetId="10">'10_数值复算'!$1:$1</definedName>
    <definedName name="_xlnm._FilterDatabase" localSheetId="11" hidden="1">'11_交付与依赖'!$A$1:$D$8</definedName>
    <definedName name="_xlnm.Print_Titles" localSheetId="11">'11_交付与依赖'!$1:$1</definedName>
    <definedName name="_xlnm._FilterDatabase" localSheetId="12" hidden="1">'12_8份原件归档'!$A$1:$P$8</definedName>
    <definedName name="_xlnm._FilterDatabase" localSheetId="13" hidden="1">'13_原页核验记录'!$A$1:$D$28</definedName>
    <definedName name="_xlnm._FilterDatabase" localSheetId="14" hidden="1">'14_两题连通交接'!$A$1:$C$6</definedName>
    <definedName name="_xlnm._FilterDatabase" localSheetId="15" hidden="1">'15_A五题复核'!$A$1:$J$6</definedName>
    <definedName name="_xlnm.Print_Titles" localSheetId="15">'15_A五题复核'!$1:$1</definedName>
    <definedName name="_xlnm._FilterDatabase" localSheetId="16" hidden="1">'16_D独立核对'!$A$1:$I$6</definedName>
    <definedName name="_xlnm.Print_Titles" localSheetId="16">'16_D独立核对'!$1:$1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sz val="10"/>
    </font>
    <font>
      <name val="Noto Sans CJK SC"/>
      <color rgb="000563C1"/>
      <sz val="10"/>
      <u val="single"/>
    </font>
    <font>
      <name val="Noto Sans CJK SC"/>
      <b val="1"/>
      <color rgb="00FFFFFF"/>
    </font>
    <font>
      <name val="微软雅黑"/>
      <b val="1"/>
      <color rgb="00FFFFFF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63D52"/>
      </patternFill>
    </fill>
    <fill>
      <patternFill patternType="solid">
        <fgColor rgb="00F0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static.cninfo.com.cn/finalpage/2026-04-29/1225251420.PDF" TargetMode="External" Id="rId1"/><Relationship Type="http://schemas.openxmlformats.org/officeDocument/2006/relationships/hyperlink" Target="https://static.cninfo.com.cn/finalpage/2026-04-29/1225251431.PDF" TargetMode="External" Id="rId2"/><Relationship Type="http://schemas.openxmlformats.org/officeDocument/2006/relationships/hyperlink" Target="https://static.cninfo.com.cn/finalpage/2026-04-03/1225076804.PDF" TargetMode="External" Id="rId3"/><Relationship Type="http://schemas.openxmlformats.org/officeDocument/2006/relationships/hyperlink" Target="https://static.cninfo.com.cn/finalpage/2026-04-29/1225237757.PDF" TargetMode="External" Id="rId4"/><Relationship Type="http://schemas.openxmlformats.org/officeDocument/2006/relationships/hyperlink" Target="https://static.cninfo.com.cn/finalpage/2026-04-15/1225104908.PDF" TargetMode="External" Id="rId5"/><Relationship Type="http://schemas.openxmlformats.org/officeDocument/2006/relationships/hyperlink" Target="https://file.finance.sina.com.cn/211.154.219.97:9494/MRGG/CNSESZ_STOCK/2026/2026-1/2026-01-16/11918323.PDF" TargetMode="External" Id="rId6"/><Relationship Type="http://schemas.openxmlformats.org/officeDocument/2006/relationships/hyperlink" Target="https://file.finance.sina.com.cn/211.154.219.97:9494/MRGG/CNSESZ_STOCK/2026/2026-5/2026-05-13/12317681.PDF" TargetMode="External" Id="rId7"/><Relationship Type="http://schemas.openxmlformats.org/officeDocument/2006/relationships/hyperlink" Target="https://file.finance.sina.com.cn/211.154.219.97:9494/MRGG/CNSESZ_STOCK/2026/2026-5/2026-05-07/12300590.PDF" TargetMode="External" Id="rId8"/><Relationship Type="http://schemas.openxmlformats.org/officeDocument/2006/relationships/hyperlink" Target="https://irm.cninfo.com.cn/interview/interview/activityInfo?activityId=1437191345574051840" TargetMode="External" Id="rId9"/><Relationship Type="http://schemas.openxmlformats.org/officeDocument/2006/relationships/hyperlink" Target="https://irm.cninfo.com.cn/interview/interview/activityInfo?activityId=1421084780166873088" TargetMode="External" Id="rId10"/><Relationship Type="http://schemas.openxmlformats.org/officeDocument/2006/relationships/hyperlink" Target="https://www.csrc.gov.cn/csrc/c101954/c2334702/2334702/files/%E9%99%84%E4%BB%B61%EF%BC%9A%E4%B8%8A%E5%B8%82%E5%85%AC%E5%8F%B8%E6%8A%95%E8%B5%84%E8%80%85%E5%85%B3%E7%B3%BB%E7%AE%A1%E7%90%86%E5%B7%A5%E4%BD%9C%E6%8C%87%E5%BC%95.pdf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https://papers.ssrn.com/sol3/papers.cfm?abstract_id=4281898" TargetMode="External" Id="rId1"/><Relationship Type="http://schemas.openxmlformats.org/officeDocument/2006/relationships/hyperlink" Target="https://xbbjb.nau.edu.cn/sjyjjyj/article/abstract/20260204010" TargetMode="External" Id="rId2"/><Relationship Type="http://schemas.openxmlformats.org/officeDocument/2006/relationships/hyperlink" Target="https://qks.shufe.edu.cn/j/PDFFull/17794c14-b22d-4e71-b91b-053fc480a45a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95" customWidth="1" min="3" max="3"/>
  </cols>
  <sheetData>
    <row r="1" ht="34" customHeight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 ht="78" customHeight="1">
      <c r="A2" s="2" t="inlineStr">
        <is>
          <t>版本</t>
        </is>
      </c>
      <c r="B2" s="2" t="inlineStr">
        <is>
          <t>v0.8 / 2026-10-23</t>
        </is>
      </c>
      <c r="C2" s="2" t="inlineStr">
        <is>
          <t>A兼B；8份上传原件已归档。智动力5题证据齐备，仍需独立人工复核。</t>
        </is>
      </c>
    </row>
    <row r="3" ht="78" customHeight="1">
      <c r="A3" s="3" t="inlineStr">
        <is>
          <t>模型家族</t>
        </is>
      </c>
      <c r="B3" s="3" t="inlineStr">
        <is>
          <t>DeepSeek＋千问</t>
        </is>
      </c>
      <c r="C3" s="3" t="inlineStr">
        <is>
          <t>队长同意按v0.7建议准备两模型；C仍须核验账户和实际参数；预算100元</t>
        </is>
      </c>
    </row>
    <row r="4" ht="78" customHeight="1">
      <c r="A4" s="2" t="inlineStr">
        <is>
          <t>题目数量</t>
        </is>
      </c>
      <c r="B4" s="2" t="n">
        <v>20</v>
      </c>
      <c r="C4" s="2" t="inlineStr">
        <is>
          <t>已有5题保留并新增15题；全部为候选，未执行20题预实验</t>
        </is>
      </c>
    </row>
    <row r="5" ht="78" customHeight="1">
      <c r="A5" s="3" t="inlineStr">
        <is>
          <t>公司数</t>
        </is>
      </c>
      <c r="B5" s="3" t="n">
        <v>4</v>
      </c>
      <c r="C5" s="3" t="inlineStr">
        <is>
          <t>公司池目标仍8家；当前不是8家正式样本</t>
        </is>
      </c>
    </row>
    <row r="6" ht="78" customHeight="1">
      <c r="A6" s="2" t="inlineStr">
        <is>
          <t>时间到秒</t>
        </is>
      </c>
      <c r="B6" s="2" t="n">
        <v>9</v>
      </c>
      <c r="C6" s="2" t="inlineStr">
        <is>
          <t>9题原平台时间可见；其余11题只有活动日</t>
        </is>
      </c>
    </row>
    <row r="7" ht="78" customHeight="1">
      <c r="A7" s="3" t="inlineStr">
        <is>
          <t>类型</t>
        </is>
      </c>
      <c r="B7" s="3" t="inlineStr">
        <is>
          <t>A2/B5/C8/D5</t>
        </is>
      </c>
      <c r="C7" s="3" t="inlineStr">
        <is>
          <t>暂定类；D集中于一家，不能据此推断类型总体差异</t>
        </is>
      </c>
    </row>
    <row r="8" ht="78" customHeight="1">
      <c r="A8" s="2" t="inlineStr">
        <is>
          <t>原件归档</t>
        </is>
      </c>
      <c r="B8" s="2" t="n">
        <v>8</v>
      </c>
      <c r="C8" s="2" t="inlineStr">
        <is>
          <t>6份证据PDF＋2份问题来源记录；完整原件存工作区；本包含原页选编、文本与哈希。</t>
        </is>
      </c>
    </row>
    <row r="9" ht="78" customHeight="1">
      <c r="A9" s="3" t="inlineStr">
        <is>
          <t>正式可运行</t>
        </is>
      </c>
      <c r="B9" s="3" t="n">
        <v>0</v>
      </c>
      <c r="C9" s="3" t="inlineStr">
        <is>
          <t>连通准备不等于正式冻结；未运行API或人工任务。</t>
        </is>
      </c>
    </row>
    <row r="10" ht="78" customHeight="1">
      <c r="A10" s="2" t="inlineStr">
        <is>
          <t>输入隔离</t>
        </is>
      </c>
      <c r="B10" s="2" t="inlineStr">
        <is>
          <t>沿用v0.7两题测试包</t>
        </is>
      </c>
      <c r="C10" s="2" t="inlineStr">
        <is>
          <t>P-A07/08仍为8次接口测试；新增智动力5题材料待校准，不自动扩展调用。</t>
        </is>
      </c>
    </row>
    <row r="11" ht="78" customHeight="1">
      <c r="A11" s="3" t="inlineStr">
        <is>
          <t>文献</t>
        </is>
      </c>
      <c r="B11" s="3" t="inlineStr">
        <is>
          <t>复制v0.4三篇精读与页码</t>
        </is>
      </c>
      <c r="C11" s="3" t="inlineStr">
        <is>
          <t>本次不修改已经核读的文献信息；旧版本/不可得论文另在v0.4记录</t>
        </is>
      </c>
    </row>
    <row r="12" ht="78" customHeight="1">
      <c r="A12" s="2" t="inlineStr">
        <is>
          <t>公共仓库</t>
        </is>
      </c>
      <c r="B12" s="2" t="inlineStr">
        <is>
          <t>仅预实验答案可公开共享</t>
        </is>
      </c>
      <c r="C12" s="2" t="inlineStr">
        <is>
          <t>正式24题答案在人工任务完成前不公开给C/D；Git隐藏列不是访问控制</t>
        </is>
      </c>
    </row>
    <row r="13" ht="78" customHeight="1">
      <c r="A13" s="3" t="inlineStr">
        <is>
          <t>计时</t>
        </is>
      </c>
      <c r="B13" s="3" t="inlineStr">
        <is>
          <t>不得补造已花时间</t>
        </is>
      </c>
      <c r="C13" s="3" t="inlineStr">
        <is>
          <t>本次AI协助搜集与人工时间分开记录；未实际计时填缺失</t>
        </is>
      </c>
    </row>
  </sheetData>
  <autoFilter ref="A1:C13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</cols>
  <sheetData>
    <row r="1">
      <c r="A1" s="9" t="inlineStr">
        <is>
          <t>question_id</t>
        </is>
      </c>
      <c r="B1" s="9" t="inlineStr">
        <is>
          <t>company</t>
        </is>
      </c>
      <c r="C1" s="9" t="inlineStr">
        <is>
          <t>stock_code</t>
        </is>
      </c>
      <c r="D1" s="9" t="inlineStr">
        <is>
          <t>source_type</t>
        </is>
      </c>
      <c r="E1" s="9" t="inlineStr">
        <is>
          <t>question_time_bjt</t>
        </is>
      </c>
      <c r="F1" s="9" t="inlineStr">
        <is>
          <t>time_precision</t>
        </is>
      </c>
      <c r="G1" s="9" t="inlineStr">
        <is>
          <t>activity_date</t>
        </is>
      </c>
      <c r="H1" s="9" t="inlineStr">
        <is>
          <t>question_raw</t>
        </is>
      </c>
      <c r="I1" s="9" t="inlineStr">
        <is>
          <t>question_used</t>
        </is>
      </c>
      <c r="J1" s="9" t="inlineStr">
        <is>
          <t>normalization</t>
        </is>
      </c>
      <c r="K1" s="9" t="inlineStr">
        <is>
          <t>source_url</t>
        </is>
      </c>
      <c r="L1" s="9" t="inlineStr">
        <is>
          <t>source_location</t>
        </is>
      </c>
      <c r="M1" s="9" t="inlineStr">
        <is>
          <t>evidence_cutoff_bjt</t>
        </is>
      </c>
      <c r="N1" s="9" t="inlineStr">
        <is>
          <t>cutoff_basis</t>
        </is>
      </c>
      <c r="O1" s="9" t="inlineStr">
        <is>
          <t>candidate_class</t>
        </is>
      </c>
      <c r="P1" s="9" t="inlineStr">
        <is>
          <t>evidence_ids</t>
        </is>
      </c>
      <c r="Q1" s="9" t="inlineStr">
        <is>
          <t>status</t>
        </is>
      </c>
      <c r="R1" s="9" t="inlineStr">
        <is>
          <t>needs</t>
        </is>
      </c>
    </row>
    <row r="2" ht="75" customHeight="1">
      <c r="A2" s="3" t="inlineStr">
        <is>
          <t>P-A01</t>
        </is>
      </c>
      <c r="B2" s="3" t="inlineStr">
        <is>
          <t>智动力</t>
        </is>
      </c>
      <c r="C2" s="3" t="inlineStr">
        <is>
          <t>300686</t>
        </is>
      </c>
      <c r="D2" s="3" t="inlineStr">
        <is>
          <t>互动易云访谈/业绩说明会</t>
        </is>
      </c>
      <c r="E2" s="3" t="inlineStr">
        <is>
          <t>2026-05-20 15:01:57+08:00</t>
        </is>
      </c>
      <c r="F2" s="3" t="inlineStr">
        <is>
          <t>页面提问时间到秒</t>
        </is>
      </c>
      <c r="G2" s="3" t="inlineStr">
        <is>
          <t>2026-05-20</t>
        </is>
      </c>
      <c r="H2" s="3" t="inlineStr">
        <is>
          <t>2025年归属于上市公司股东的净利润亏损1.34亿元，较上年同期亏损幅度有所收窄，请问归母净利润减亏的主要驱动因素是什么？</t>
        </is>
      </c>
      <c r="I2" s="3" t="inlineStr">
        <is>
          <t>2025年归属于上市公司股东的净利润亏损1.34亿元，较上年同期亏损幅度有所收窄，请问归母净利润减亏的主要驱动因素是什么？</t>
        </is>
      </c>
      <c r="J2" s="3" t="inlineStr">
        <is>
          <t>无</t>
        </is>
      </c>
      <c r="K2" s="3" t="inlineStr">
        <is>
          <t>https://irm.cninfo.com.cn/interview/interview/activityInfo?activityId=1437191345574051840</t>
        </is>
      </c>
      <c r="L2" s="3" t="inlineStr">
        <is>
          <t>2026-05-20 15:01:57+08:00</t>
        </is>
      </c>
      <c r="M2" s="3" t="inlineStr">
        <is>
          <t>2026-05-19 23:59:59+08:00</t>
        </is>
      </c>
      <c r="N2" s="3" t="inlineStr">
        <is>
          <t>实际提问日前一日末</t>
        </is>
      </c>
      <c r="O2" s="3" t="inlineStr">
        <is>
          <t>B</t>
        </is>
      </c>
      <c r="P2" s="3" t="inlineStr">
        <is>
          <t>["E01"]</t>
        </is>
      </c>
      <c r="Q2" s="3" t="inlineStr">
        <is>
          <t>年报及所需一季报已归档；待更完整检索与A/D独立校准</t>
        </is>
      </c>
      <c r="R2" s="3" t="inlineStr">
        <is>
          <t>无需再上传年报；填写五题人工复核表；保留未知范围；独立复核后决定预实验冻结</t>
        </is>
      </c>
    </row>
    <row r="3" ht="75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300686</t>
        </is>
      </c>
      <c r="D3" s="3" t="inlineStr">
        <is>
          <t>互动易云访谈/业绩说明会</t>
        </is>
      </c>
      <c r="E3" s="3" t="inlineStr">
        <is>
          <t>2026-05-20 15:10:13+08:00</t>
        </is>
      </c>
      <c r="F3" s="3" t="inlineStr">
        <is>
          <t>页面提问时间到秒</t>
        </is>
      </c>
      <c r="G3" s="3" t="inlineStr">
        <is>
          <t>2026-05-20</t>
        </is>
      </c>
      <c r="H3" s="3" t="inlineStr">
        <is>
          <t>请问，公司研发费用2025年同比增长19.78%，2026年一季度增长46.25%，投入的重点方向是什么？</t>
        </is>
      </c>
      <c r="I3" s="3" t="inlineStr">
        <is>
          <t>请问，公司研发费用2025年同比增长19.78%，2026年一季度增长46.25%，投入的重点方向是什么？</t>
        </is>
      </c>
      <c r="J3" s="3" t="inlineStr">
        <is>
          <t>无</t>
        </is>
      </c>
      <c r="K3" s="3" t="inlineStr">
        <is>
          <t>https://irm.cninfo.com.cn/interview/interview/activityInfo?activityId=1437191345574051840</t>
        </is>
      </c>
      <c r="L3" s="3" t="inlineStr">
        <is>
          <t>2026-05-20 15:10:13+08:00</t>
        </is>
      </c>
      <c r="M3" s="3" t="inlineStr">
        <is>
          <t>2026-05-19 23:59:59+08:00</t>
        </is>
      </c>
      <c r="N3" s="3" t="inlineStr">
        <is>
          <t>实际提问日前一日末</t>
        </is>
      </c>
      <c r="O3" s="3" t="inlineStr">
        <is>
          <t>C</t>
        </is>
      </c>
      <c r="P3" s="3" t="inlineStr">
        <is>
          <t>["E02", "E03"]</t>
        </is>
      </c>
      <c r="Q3" s="3" t="inlineStr">
        <is>
          <t>年报及所需一季报已归档；待更完整检索与A/D独立校准</t>
        </is>
      </c>
      <c r="R3" s="3" t="inlineStr">
        <is>
          <t>无需再上传年报；填写五题人工复核表；保留未知范围；独立复核后决定预实验冻结</t>
        </is>
      </c>
    </row>
    <row r="4" ht="75" customHeight="1">
      <c r="A4" s="3" t="inlineStr">
        <is>
          <t>P-A03</t>
        </is>
      </c>
      <c r="B4" s="3" t="inlineStr">
        <is>
          <t>智动力</t>
        </is>
      </c>
      <c r="C4" s="3" t="inlineStr">
        <is>
          <t>300686</t>
        </is>
      </c>
      <c r="D4" s="3" t="inlineStr">
        <is>
          <t>互动易云访谈/业绩说明会</t>
        </is>
      </c>
      <c r="E4" s="3" t="inlineStr">
        <is>
          <t>2026-05-20 15:21:42+08:00</t>
        </is>
      </c>
      <c r="F4" s="3" t="inlineStr">
        <is>
          <t>页面提问时间到秒</t>
        </is>
      </c>
      <c r="G4" s="3" t="inlineStr">
        <is>
          <t>2026-05-20</t>
        </is>
      </c>
      <c r="H4" s="3" t="inlineStr">
        <is>
          <t>公司海外业务的发展情况如何？2025年海外收入占比是多少？未来在海外市场有哪些拓展计划？</t>
        </is>
      </c>
      <c r="I4" s="3" t="inlineStr">
        <is>
          <t>公司海外业务的发展情况如何？2025年海外收入占比是多少？未来在海外市场有哪些拓展计划？</t>
        </is>
      </c>
      <c r="J4" s="3" t="inlineStr">
        <is>
          <t>无</t>
        </is>
      </c>
      <c r="K4" s="3" t="inlineStr">
        <is>
          <t>https://irm.cninfo.com.cn/interview/interview/activityInfo?activityId=1437191345574051840</t>
        </is>
      </c>
      <c r="L4" s="3" t="inlineStr">
        <is>
          <t>2026-05-20 15:21:42+08:00</t>
        </is>
      </c>
      <c r="M4" s="3" t="inlineStr">
        <is>
          <t>2026-05-19 23:59:59+08:00</t>
        </is>
      </c>
      <c r="N4" s="3" t="inlineStr">
        <is>
          <t>实际提问日前一日末</t>
        </is>
      </c>
      <c r="O4" s="3" t="inlineStr">
        <is>
          <t>B</t>
        </is>
      </c>
      <c r="P4" s="3" t="inlineStr">
        <is>
          <t>["E04", "E05", "E08"]</t>
        </is>
      </c>
      <c r="Q4" s="3" t="inlineStr">
        <is>
          <t>年报及所需一季报已归档；待更完整检索与A/D独立校准</t>
        </is>
      </c>
      <c r="R4" s="3" t="inlineStr">
        <is>
          <t>无需再上传年报；填写五题人工复核表；保留未知范围；独立复核后决定预实验冻结</t>
        </is>
      </c>
    </row>
    <row r="5" ht="75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300686</t>
        </is>
      </c>
      <c r="D5" s="3" t="inlineStr">
        <is>
          <t>互动易云访谈/业绩说明会</t>
        </is>
      </c>
      <c r="E5" s="3" t="inlineStr">
        <is>
          <t>2026-05-20 15:24:38+08:00</t>
        </is>
      </c>
      <c r="F5" s="3" t="inlineStr">
        <is>
          <t>页面提问时间到秒</t>
        </is>
      </c>
      <c r="G5" s="3" t="inlineStr">
        <is>
          <t>2026-05-20</t>
        </is>
      </c>
      <c r="H5" s="3" t="inlineStr">
        <is>
          <t>公司固液混合产品未来的主要应用方向是什么？为什么选择这些应用领域？</t>
        </is>
      </c>
      <c r="I5" s="3" t="inlineStr">
        <is>
          <t>公司固液混合产品未来的主要应用方向是什么？为什么选择这些应用领域？</t>
        </is>
      </c>
      <c r="J5" s="3" t="inlineStr">
        <is>
          <t>无</t>
        </is>
      </c>
      <c r="K5" s="3" t="inlineStr">
        <is>
          <t>https://irm.cninfo.com.cn/interview/interview/activityInfo?activityId=1437191345574051840</t>
        </is>
      </c>
      <c r="L5" s="3" t="inlineStr">
        <is>
          <t>2026-05-20 15:24:38+08:00</t>
        </is>
      </c>
      <c r="M5" s="3" t="inlineStr">
        <is>
          <t>2026-05-19 23:59:59+08:00</t>
        </is>
      </c>
      <c r="N5" s="3" t="inlineStr">
        <is>
          <t>实际提问日前一日末</t>
        </is>
      </c>
      <c r="O5" s="3" t="inlineStr">
        <is>
          <t>B</t>
        </is>
      </c>
      <c r="P5" s="3" t="inlineStr">
        <is>
          <t>["E06", "E08"]</t>
        </is>
      </c>
      <c r="Q5" s="3" t="inlineStr">
        <is>
          <t>年报及所需一季报已归档；待更完整检索与A/D独立校准</t>
        </is>
      </c>
      <c r="R5" s="3" t="inlineStr">
        <is>
          <t>无需再上传年报；填写五题人工复核表；保留未知范围；独立复核后决定预实验冻结</t>
        </is>
      </c>
    </row>
    <row r="6" ht="75" customHeight="1">
      <c r="A6" s="3" t="inlineStr">
        <is>
          <t>P-A05</t>
        </is>
      </c>
      <c r="B6" s="3" t="inlineStr">
        <is>
          <t>智动力</t>
        </is>
      </c>
      <c r="C6" s="3" t="inlineStr">
        <is>
          <t>300686</t>
        </is>
      </c>
      <c r="D6" s="3" t="inlineStr">
        <is>
          <t>互动易云访谈/业绩说明会</t>
        </is>
      </c>
      <c r="E6" s="3" t="inlineStr">
        <is>
          <t>2026-05-20 15:29:28+08:00</t>
        </is>
      </c>
      <c r="F6" s="3" t="inlineStr">
        <is>
          <t>页面提问时间到秒</t>
        </is>
      </c>
      <c r="G6" s="3" t="inlineStr">
        <is>
          <t>2026-05-20</t>
        </is>
      </c>
      <c r="H6" s="3" t="inlineStr">
        <is>
          <t>公司之前终止了部分低效的募投项目，请问这些项目的剩余资金将如何使用？</t>
        </is>
      </c>
      <c r="I6" s="3" t="inlineStr">
        <is>
          <t>公司之前终止了部分低效的募投项目，请问这些项目的剩余资金将如何使用？</t>
        </is>
      </c>
      <c r="J6" s="3" t="inlineStr">
        <is>
          <t>无</t>
        </is>
      </c>
      <c r="K6" s="3" t="inlineStr">
        <is>
          <t>https://irm.cninfo.com.cn/interview/interview/activityInfo?activityId=1437191345574051840</t>
        </is>
      </c>
      <c r="L6" s="3" t="inlineStr">
        <is>
          <t>2026-05-20 15:29:28+08:00</t>
        </is>
      </c>
      <c r="M6" s="3" t="inlineStr">
        <is>
          <t>2026-05-19 23:59:59+08:00</t>
        </is>
      </c>
      <c r="N6" s="3" t="inlineStr">
        <is>
          <t>实际提问日前一日末</t>
        </is>
      </c>
      <c r="O6" s="3" t="inlineStr">
        <is>
          <t>A</t>
        </is>
      </c>
      <c r="P6" s="3" t="inlineStr">
        <is>
          <t>["E07"]</t>
        </is>
      </c>
      <c r="Q6" s="3" t="inlineStr">
        <is>
          <t>年报及所需一季报已归档；待更完整检索与A/D独立校准</t>
        </is>
      </c>
      <c r="R6" s="3" t="inlineStr">
        <is>
          <t>无需再上传年报；填写五题人工复核表；保留未知范围；独立复核后决定预实验冻结</t>
        </is>
      </c>
    </row>
    <row r="7" ht="75" customHeight="1">
      <c r="A7" s="3" t="inlineStr">
        <is>
          <t>P-A06</t>
        </is>
      </c>
      <c r="B7" s="3" t="inlineStr">
        <is>
          <t>苏泊尔</t>
        </is>
      </c>
      <c r="C7" s="3" t="inlineStr">
        <is>
          <t>002032</t>
        </is>
      </c>
      <c r="D7" s="3" t="inlineStr">
        <is>
          <t>互动易云访谈/业绩说明会</t>
        </is>
      </c>
      <c r="E7" s="3" t="inlineStr">
        <is>
          <t>2026-04-09 16:27:29+08:00</t>
        </is>
      </c>
      <c r="F7" s="3" t="inlineStr">
        <is>
          <t>页面提问时间到秒</t>
        </is>
      </c>
      <c r="G7" s="3" t="inlineStr">
        <is>
          <t>2026-04-09</t>
        </is>
      </c>
      <c r="H7" s="3" t="inlineStr">
        <is>
          <t>年报披露口径中，烹饪电器和食物料理电器分别是哪些不同的产品？食物料理电器的营收2025年度为什么也开始下降？</t>
        </is>
      </c>
      <c r="I7" s="3" t="inlineStr">
        <is>
          <t>年报披露口径中，烹饪电器和食物料理电器分别是哪些不同的产品？食物料理电器的营收2025年度为什么也开始下降？</t>
        </is>
      </c>
      <c r="J7" s="3" t="inlineStr">
        <is>
          <t>无</t>
        </is>
      </c>
      <c r="K7" s="3" t="inlineStr">
        <is>
          <t>https://irm.cninfo.com.cn/interview/interview/activityInfo?activityId=1421084780166873088</t>
        </is>
      </c>
      <c r="L7" s="3" t="inlineStr">
        <is>
          <t>页面16:27:29</t>
        </is>
      </c>
      <c r="M7" s="3" t="inlineStr">
        <is>
          <t>2026-04-08 23:59:59+08:00</t>
        </is>
      </c>
      <c r="N7" s="3" t="inlineStr">
        <is>
          <t>实际提问日前一日末</t>
        </is>
      </c>
      <c r="O7" s="3" t="inlineStr">
        <is>
          <t>C</t>
        </is>
      </c>
      <c r="P7" s="3" t="inlineStr">
        <is>
          <t>["E09"]</t>
        </is>
      </c>
      <c r="Q7" s="3" t="inlineStr">
        <is>
          <t>U：原件已确认两表差异，原因未确定</t>
        </is>
      </c>
      <c r="R7" s="3" t="inlineStr">
        <is>
          <t>查提问前更正或口径说明；无法解决则替换，不进入可比质量实验</t>
        </is>
      </c>
    </row>
    <row r="8" ht="75" customHeight="1">
      <c r="A8" s="3" t="inlineStr">
        <is>
          <t>P-A07</t>
        </is>
      </c>
      <c r="B8" s="3" t="inlineStr">
        <is>
          <t>苏泊尔</t>
        </is>
      </c>
      <c r="C8" s="3" t="inlineStr">
        <is>
          <t>002032</t>
        </is>
      </c>
      <c r="D8" s="3" t="inlineStr">
        <is>
          <t>互动易云访谈/业绩说明会</t>
        </is>
      </c>
      <c r="E8" s="3" t="inlineStr">
        <is>
          <t>2026-04-09 16:29:19+08:00</t>
        </is>
      </c>
      <c r="F8" s="3" t="inlineStr">
        <is>
          <t>页面提问时间到秒</t>
        </is>
      </c>
      <c r="G8" s="3" t="inlineStr">
        <is>
          <t>2026-04-09</t>
        </is>
      </c>
      <c r="H8" s="3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I8" s="3" t="inlineStr">
        <is>
          <t>请问徐总，我公司每年研发费用占营收比重长期在2%左右，而国内同行上市公司普遍在3%以上。我公司为什么能比同行投入比例更低？这会不会损害公司长期竞争优势？</t>
        </is>
      </c>
      <c r="J8" s="3" t="inlineStr">
        <is>
          <t>无</t>
        </is>
      </c>
      <c r="K8" s="3" t="inlineStr">
        <is>
          <t>https://irm.cninfo.com.cn/interview/interview/activityInfo?activityId=1421084780166873088</t>
        </is>
      </c>
      <c r="L8" s="3" t="inlineStr">
        <is>
          <t>页面16:29:19</t>
        </is>
      </c>
      <c r="M8" s="3" t="inlineStr">
        <is>
          <t>2026-04-08 23:59:59+08:00</t>
        </is>
      </c>
      <c r="N8" s="3" t="inlineStr">
        <is>
          <t>实际提问日前一日末</t>
        </is>
      </c>
      <c r="O8" s="3" t="inlineStr">
        <is>
          <t>C</t>
        </is>
      </c>
      <c r="P8" s="3" t="inlineStr">
        <is>
          <t>["E10"]</t>
        </is>
      </c>
      <c r="Q8" s="3" t="inlineStr">
        <is>
          <t>原件已核；已提供仅用于接口与计费的2题包</t>
        </is>
      </c>
      <c r="R8" s="3" t="inlineStr">
        <is>
          <t>C填配置并做连通；D独立试评；不得计入正式结果</t>
        </is>
      </c>
    </row>
    <row r="9" ht="75" customHeight="1">
      <c r="A9" s="3" t="inlineStr">
        <is>
          <t>P-A08</t>
        </is>
      </c>
      <c r="B9" s="3" t="inlineStr">
        <is>
          <t>苏泊尔</t>
        </is>
      </c>
      <c r="C9" s="3" t="inlineStr">
        <is>
          <t>002032</t>
        </is>
      </c>
      <c r="D9" s="3" t="inlineStr">
        <is>
          <t>互动易云访谈/业绩说明会</t>
        </is>
      </c>
      <c r="E9" s="3" t="inlineStr">
        <is>
          <t>2026-04-09 16:31:18+08:00</t>
        </is>
      </c>
      <c r="F9" s="3" t="inlineStr">
        <is>
          <t>页面提问时间到秒</t>
        </is>
      </c>
      <c r="G9" s="3" t="inlineStr">
        <is>
          <t>2026-04-09</t>
        </is>
      </c>
      <c r="H9" s="3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I9" s="3" t="inlineStr">
        <is>
          <t>从销量上看，公司产品销售近几年还是有显著增长的，例如炊具2025年销量同比增长8%。但营收增长却出现了停滞不前，请问是产品单价下降导致还是其他原因？</t>
        </is>
      </c>
      <c r="J9" s="3" t="inlineStr">
        <is>
          <t>无</t>
        </is>
      </c>
      <c r="K9" s="3" t="inlineStr">
        <is>
          <t>https://irm.cninfo.com.cn/interview/interview/activityInfo?activityId=1421084780166873088</t>
        </is>
      </c>
      <c r="L9" s="3" t="inlineStr">
        <is>
          <t>页面16:31:18</t>
        </is>
      </c>
      <c r="M9" s="3" t="inlineStr">
        <is>
          <t>2026-04-08 23:59:59+08:00</t>
        </is>
      </c>
      <c r="N9" s="3" t="inlineStr">
        <is>
          <t>实际提问日前一日末</t>
        </is>
      </c>
      <c r="O9" s="3" t="inlineStr">
        <is>
          <t>B</t>
        </is>
      </c>
      <c r="P9" s="3" t="inlineStr">
        <is>
          <t>["E11"]</t>
        </is>
      </c>
      <c r="Q9" s="3" t="inlineStr">
        <is>
          <t>原件已核；已提供仅用于接口与计费的2题包</t>
        </is>
      </c>
      <c r="R9" s="3" t="inlineStr">
        <is>
          <t>C填配置并做连通；D独立试评；不得计入正式结果</t>
        </is>
      </c>
    </row>
    <row r="10" ht="75" customHeight="1">
      <c r="A10" s="3" t="inlineStr">
        <is>
          <t>P-A09</t>
        </is>
      </c>
      <c r="B10" s="3" t="inlineStr">
        <is>
          <t>苏泊尔</t>
        </is>
      </c>
      <c r="C10" s="3" t="inlineStr">
        <is>
          <t>002032</t>
        </is>
      </c>
      <c r="D10" s="3" t="inlineStr">
        <is>
          <t>互动易云访谈/业绩说明会</t>
        </is>
      </c>
      <c r="E10" s="3" t="inlineStr">
        <is>
          <t>2026-04-09 16:46:02+08:00</t>
        </is>
      </c>
      <c r="F10" s="3" t="inlineStr">
        <is>
          <t>页面提问时间到秒</t>
        </is>
      </c>
      <c r="G10" s="3" t="inlineStr">
        <is>
          <t>2026-04-09</t>
        </is>
      </c>
      <c r="H10" s="3" t="inlineStr">
        <is>
          <t>公司线上销售占比3025年是否仍有所提高？线上销售对公司拓展三四线下沉市场有哪些帮助？</t>
        </is>
      </c>
      <c r="I10" s="3" t="inlineStr">
        <is>
          <t>公司线上销售占比2025年是否仍有所提高？线上销售对公司拓展三四线下沉市场有哪些帮助？</t>
        </is>
      </c>
      <c r="J10" s="3" t="inlineStr">
        <is>
          <t>3025→2025；须A确认，原文保留</t>
        </is>
      </c>
      <c r="K10" s="3" t="inlineStr">
        <is>
          <t>https://irm.cninfo.com.cn/interview/interview/activityInfo?activityId=1421084780166873088</t>
        </is>
      </c>
      <c r="L10" s="3" t="inlineStr">
        <is>
          <t>页面16:46:02</t>
        </is>
      </c>
      <c r="M10" s="3" t="inlineStr">
        <is>
          <t>2026-04-08 23:59:59+08:00</t>
        </is>
      </c>
      <c r="N10" s="3" t="inlineStr">
        <is>
          <t>实际提问日前一日末</t>
        </is>
      </c>
      <c r="O10" s="3" t="inlineStr">
        <is>
          <t>C</t>
        </is>
      </c>
      <c r="P10" s="3" t="inlineStr">
        <is>
          <t>["E12"]</t>
        </is>
      </c>
      <c r="Q10" s="3" t="inlineStr">
        <is>
          <t>原件已核；年份规范化及人工复核待确认</t>
        </is>
      </c>
      <c r="R10" s="3" t="inlineStr">
        <is>
          <t>原文3025保留；规范化2025需留痕；暂未进入2题连通包</t>
        </is>
      </c>
    </row>
    <row r="11" ht="75" customHeight="1">
      <c r="A11" s="3" t="inlineStr">
        <is>
          <t>P-A10</t>
        </is>
      </c>
      <c r="B11" s="3" t="inlineStr">
        <is>
          <t>老板电器</t>
        </is>
      </c>
      <c r="C11" s="3" t="inlineStr">
        <is>
          <t>002508</t>
        </is>
      </c>
      <c r="D11" s="3" t="inlineStr">
        <is>
          <t>公司披露的网上说明会记录；新浪PDF镜像</t>
        </is>
      </c>
      <c r="E11" s="3" t="n"/>
      <c r="F11" s="3" t="inlineStr">
        <is>
          <t>仅活动日期；原始提交时间未知</t>
        </is>
      </c>
      <c r="G11" s="3" t="inlineStr">
        <is>
          <t>2026-05-13</t>
        </is>
      </c>
      <c r="H11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I11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J11" s="3" t="inlineStr">
        <is>
          <t>仅合并PDF换行与多余空格</t>
        </is>
      </c>
      <c r="K11" s="3" t="inlineStr">
        <is>
          <t>https://file.finance.sina.com.cn/211.154.219.97:9494/MRGG/CNSESZ_STOCK/2026/2026-5/2026-05-13/12317681.PDF</t>
        </is>
      </c>
      <c r="L11" s="3" t="inlineStr">
        <is>
          <t>记录2026-001，第1问，PDF第1页</t>
        </is>
      </c>
      <c r="M11" s="3" t="inlineStr">
        <is>
          <t>2026-05-12 23:59:59+08:00</t>
        </is>
      </c>
      <c r="N11" s="3" t="inlineStr">
        <is>
          <t>活动日前一日末，仅作临时代理；不能证明早于预征集提问</t>
        </is>
      </c>
      <c r="O11" s="3" t="inlineStr">
        <is>
          <t>C</t>
        </is>
      </c>
      <c r="P11" s="3" t="inlineStr">
        <is>
          <t>["E13"]</t>
        </is>
      </c>
      <c r="Q11" s="3" t="inlineStr">
        <is>
          <t>U：原件已归档，原始提问时点仍缺</t>
        </is>
      </c>
      <c r="R11" s="3" t="inlineStr">
        <is>
          <t>补实际提问时间及截止日前补充公告；不把活动日当提交日</t>
        </is>
      </c>
    </row>
    <row r="12" ht="75" customHeight="1">
      <c r="A12" s="3" t="inlineStr">
        <is>
          <t>P-A11</t>
        </is>
      </c>
      <c r="B12" s="3" t="inlineStr">
        <is>
          <t>老板电器</t>
        </is>
      </c>
      <c r="C12" s="3" t="inlineStr">
        <is>
          <t>002508</t>
        </is>
      </c>
      <c r="D12" s="3" t="inlineStr">
        <is>
          <t>公司披露的网上说明会记录；新浪PDF镜像</t>
        </is>
      </c>
      <c r="E12" s="3" t="n"/>
      <c r="F12" s="3" t="inlineStr">
        <is>
          <t>仅活动日期；原始提交时间未知</t>
        </is>
      </c>
      <c r="G12" s="3" t="inlineStr">
        <is>
          <t>2026-05-13</t>
        </is>
      </c>
      <c r="H12" s="3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I12" s="3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J12" s="3" t="inlineStr">
        <is>
          <t>仅合并PDF换行与多余空格</t>
        </is>
      </c>
      <c r="K12" s="3" t="inlineStr">
        <is>
          <t>https://file.finance.sina.com.cn/211.154.219.97:9494/MRGG/CNSESZ_STOCK/2026/2026-5/2026-05-13/12317681.PDF</t>
        </is>
      </c>
      <c r="L12" s="3" t="inlineStr">
        <is>
          <t>记录2026-001，第2问，PDF第2页</t>
        </is>
      </c>
      <c r="M12" s="3" t="inlineStr">
        <is>
          <t>2026-05-12 23:59:59+08:00</t>
        </is>
      </c>
      <c r="N12" s="3" t="inlineStr">
        <is>
          <t>活动日前一日末，仅作临时代理；不能证明早于预征集提问</t>
        </is>
      </c>
      <c r="O12" s="3" t="inlineStr">
        <is>
          <t>C</t>
        </is>
      </c>
      <c r="P12" s="3" t="inlineStr">
        <is>
          <t>["E14"]</t>
        </is>
      </c>
      <c r="Q12" s="3" t="inlineStr">
        <is>
          <t>U：原件已归档，原始提问时点仍缺</t>
        </is>
      </c>
      <c r="R12" s="3" t="inlineStr">
        <is>
          <t>补实际提问时间及截止日前补充公告；不把活动日当提交日</t>
        </is>
      </c>
    </row>
    <row r="13" ht="75" customHeight="1">
      <c r="A13" s="3" t="inlineStr">
        <is>
          <t>P-A12</t>
        </is>
      </c>
      <c r="B13" s="3" t="inlineStr">
        <is>
          <t>老板电器</t>
        </is>
      </c>
      <c r="C13" s="3" t="inlineStr">
        <is>
          <t>002508</t>
        </is>
      </c>
      <c r="D13" s="3" t="inlineStr">
        <is>
          <t>公司披露的网上说明会记录；新浪PDF镜像</t>
        </is>
      </c>
      <c r="E13" s="3" t="n"/>
      <c r="F13" s="3" t="inlineStr">
        <is>
          <t>仅活动日期；原始提交时间未知</t>
        </is>
      </c>
      <c r="G13" s="3" t="inlineStr">
        <is>
          <t>2026-05-13</t>
        </is>
      </c>
      <c r="H13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I13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J13" s="3" t="inlineStr">
        <is>
          <t>仅合并PDF换行与多余空格</t>
        </is>
      </c>
      <c r="K13" s="3" t="inlineStr">
        <is>
          <t>https://file.finance.sina.com.cn/211.154.219.97:9494/MRGG/CNSESZ_STOCK/2026/2026-5/2026-05-13/12317681.PDF</t>
        </is>
      </c>
      <c r="L13" s="3" t="inlineStr">
        <is>
          <t>记录2026-001，第3问，PDF第2页</t>
        </is>
      </c>
      <c r="M13" s="3" t="inlineStr">
        <is>
          <t>2026-05-12 23:59:59+08:00</t>
        </is>
      </c>
      <c r="N13" s="3" t="inlineStr">
        <is>
          <t>活动日前一日末，仅作临时代理；不能证明早于预征集提问</t>
        </is>
      </c>
      <c r="O13" s="3" t="inlineStr">
        <is>
          <t>C</t>
        </is>
      </c>
      <c r="P13" s="3" t="inlineStr">
        <is>
          <t>["E15"]</t>
        </is>
      </c>
      <c r="Q13" s="3" t="inlineStr">
        <is>
          <t>U：原件已归档，原始提问时点仍缺</t>
        </is>
      </c>
      <c r="R13" s="3" t="inlineStr">
        <is>
          <t>补实际提问时间及截止日前补充公告；不把活动日当提交日</t>
        </is>
      </c>
    </row>
    <row r="14" ht="75" customHeight="1">
      <c r="A14" s="3" t="inlineStr">
        <is>
          <t>P-A13</t>
        </is>
      </c>
      <c r="B14" s="3" t="inlineStr">
        <is>
          <t>老板电器</t>
        </is>
      </c>
      <c r="C14" s="3" t="inlineStr">
        <is>
          <t>002508</t>
        </is>
      </c>
      <c r="D14" s="3" t="inlineStr">
        <is>
          <t>公司披露的网上说明会记录；新浪PDF镜像</t>
        </is>
      </c>
      <c r="E14" s="3" t="n"/>
      <c r="F14" s="3" t="inlineStr">
        <is>
          <t>仅活动日期；原始提交时间未知</t>
        </is>
      </c>
      <c r="G14" s="3" t="inlineStr">
        <is>
          <t>2026-05-13</t>
        </is>
      </c>
      <c r="H14" s="3" t="inlineStr">
        <is>
          <t>2025年公司在海外市场的拓展取得了哪些具体进展？</t>
        </is>
      </c>
      <c r="I14" s="3" t="inlineStr">
        <is>
          <t>2025年公司在海外市场的拓展取得了哪些具体进展？</t>
        </is>
      </c>
      <c r="J14" s="3" t="inlineStr">
        <is>
          <t>仅合并PDF换行与多余空格</t>
        </is>
      </c>
      <c r="K14" s="3" t="inlineStr">
        <is>
          <t>https://file.finance.sina.com.cn/211.154.219.97:9494/MRGG/CNSESZ_STOCK/2026/2026-5/2026-05-13/12317681.PDF</t>
        </is>
      </c>
      <c r="L14" s="3" t="inlineStr">
        <is>
          <t>记录2026-001，第4问，PDF第3页</t>
        </is>
      </c>
      <c r="M14" s="3" t="inlineStr">
        <is>
          <t>2026-05-12 23:59:59+08:00</t>
        </is>
      </c>
      <c r="N14" s="3" t="inlineStr">
        <is>
          <t>活动日前一日末，仅作临时代理；不能证明早于预征集提问</t>
        </is>
      </c>
      <c r="O14" s="3" t="inlineStr">
        <is>
          <t>B</t>
        </is>
      </c>
      <c r="P14" s="3" t="inlineStr">
        <is>
          <t>["E16"]</t>
        </is>
      </c>
      <c r="Q14" s="3" t="inlineStr">
        <is>
          <t>U：原件已归档，原始提问时点仍缺</t>
        </is>
      </c>
      <c r="R14" s="3" t="inlineStr">
        <is>
          <t>补实际提问时间及截止日前补充公告；不把活动日当提交日</t>
        </is>
      </c>
    </row>
    <row r="15" ht="75" customHeight="1">
      <c r="A15" s="3" t="inlineStr">
        <is>
          <t>P-A14</t>
        </is>
      </c>
      <c r="B15" s="3" t="inlineStr">
        <is>
          <t>老板电器</t>
        </is>
      </c>
      <c r="C15" s="3" t="inlineStr">
        <is>
          <t>002508</t>
        </is>
      </c>
      <c r="D15" s="3" t="inlineStr">
        <is>
          <t>公司披露的网上说明会记录；新浪PDF镜像</t>
        </is>
      </c>
      <c r="E15" s="3" t="n"/>
      <c r="F15" s="3" t="inlineStr">
        <is>
          <t>仅活动日期；原始提交时间未知</t>
        </is>
      </c>
      <c r="G15" s="3" t="inlineStr">
        <is>
          <t>2026-05-13</t>
        </is>
      </c>
      <c r="H15" s="3" t="inlineStr">
        <is>
          <t>领导，您好！我来自四川大决策。请问，地产后周期拖累减弱，B端（工程 / 整装）与C端（零售 / 换新）占比变化，C端复苏力度？</t>
        </is>
      </c>
      <c r="I15" s="3" t="inlineStr">
        <is>
          <t>领导，您好！我来自四川大决策。请问，地产后周期拖累减弱，B端（工程 / 整装）与C端（零售 / 换新）占比变化，C端复苏力度？</t>
        </is>
      </c>
      <c r="J15" s="3" t="inlineStr">
        <is>
          <t>仅合并PDF换行与多余空格</t>
        </is>
      </c>
      <c r="K15" s="3" t="inlineStr">
        <is>
          <t>https://file.finance.sina.com.cn/211.154.219.97:9494/MRGG/CNSESZ_STOCK/2026/2026-5/2026-05-13/12317681.PDF</t>
        </is>
      </c>
      <c r="L15" s="3" t="inlineStr">
        <is>
          <t>记录2026-001，第5问，PDF第3页；提问者自述机构身份</t>
        </is>
      </c>
      <c r="M15" s="3" t="inlineStr">
        <is>
          <t>2026-05-12 23:59:59+08:00</t>
        </is>
      </c>
      <c r="N15" s="3" t="inlineStr">
        <is>
          <t>活动日前一日末，仅作临时代理；不能证明早于预征集提问</t>
        </is>
      </c>
      <c r="O15" s="3" t="inlineStr">
        <is>
          <t>C</t>
        </is>
      </c>
      <c r="P15" s="3" t="inlineStr">
        <is>
          <t>["E17"]</t>
        </is>
      </c>
      <c r="Q15" s="3" t="inlineStr">
        <is>
          <t>U：原件已归档，原始提问时点仍缺</t>
        </is>
      </c>
      <c r="R15" s="3" t="inlineStr">
        <is>
          <t>补实际提问时间及截止日前补充公告；不把活动日当提交日</t>
        </is>
      </c>
    </row>
    <row r="16" ht="75" customHeight="1">
      <c r="A16" s="3" t="inlineStr">
        <is>
          <t>P-A15</t>
        </is>
      </c>
      <c r="B16" s="3" t="inlineStr">
        <is>
          <t>立讯精密</t>
        </is>
      </c>
      <c r="C16" s="3" t="inlineStr">
        <is>
          <t>002475</t>
        </is>
      </c>
      <c r="D16" s="3" t="inlineStr">
        <is>
          <t>公司披露的网上说明会记录；新浪PDF镜像</t>
        </is>
      </c>
      <c r="E16" s="3" t="n"/>
      <c r="F16" s="3" t="inlineStr">
        <is>
          <t>仅活动日期；原始提交时间未知</t>
        </is>
      </c>
      <c r="G16" s="3" t="inlineStr">
        <is>
          <t>2026-05-06</t>
        </is>
      </c>
      <c r="H16" s="3" t="inlineStr">
        <is>
          <t>您好，我们有回购股票并注销的方案吗？</t>
        </is>
      </c>
      <c r="I16" s="3" t="inlineStr">
        <is>
          <t>您好，我们有回购股票并注销的方案吗？</t>
        </is>
      </c>
      <c r="J16" s="3" t="inlineStr">
        <is>
          <t>仅合并PDF换行与多余空格</t>
        </is>
      </c>
      <c r="K16" s="3" t="inlineStr">
        <is>
          <t>https://file.finance.sina.com.cn/211.154.219.97:9494/MRGG/CNSESZ_STOCK/2026/2026-5/2026-05-07/12300590.PDF</t>
        </is>
      </c>
      <c r="L16" s="3" t="inlineStr">
        <is>
          <t>记录2026-002，第42问，PDF第8页</t>
        </is>
      </c>
      <c r="M16" s="3" t="inlineStr">
        <is>
          <t>2026-05-05 23:59:59+08:00</t>
        </is>
      </c>
      <c r="N16" s="3" t="inlineStr">
        <is>
          <t>活动日前一日末，仅作临时代理；不能证明早于预征集提问</t>
        </is>
      </c>
      <c r="O16" s="3" t="inlineStr">
        <is>
          <t>A</t>
        </is>
      </c>
      <c r="P16" s="3" t="inlineStr">
        <is>
          <t>["E19"]</t>
        </is>
      </c>
      <c r="Q16" s="3" t="inlineStr">
        <is>
          <t>U：原件已归档，原始提问时点仍缺</t>
        </is>
      </c>
      <c r="R16" s="3" t="inlineStr">
        <is>
          <t>补实际提问时间及截止日前补充公告；不把活动日当提交日</t>
        </is>
      </c>
    </row>
    <row r="17" ht="75" customHeight="1">
      <c r="A17" s="3" t="inlineStr">
        <is>
          <t>P-A16</t>
        </is>
      </c>
      <c r="B17" s="3" t="inlineStr">
        <is>
          <t>立讯精密</t>
        </is>
      </c>
      <c r="C17" s="3" t="inlineStr">
        <is>
          <t>002475</t>
        </is>
      </c>
      <c r="D17" s="3" t="inlineStr">
        <is>
          <t>公司披露的网上说明会记录；新浪PDF镜像</t>
        </is>
      </c>
      <c r="E17" s="3" t="n"/>
      <c r="F17" s="3" t="inlineStr">
        <is>
          <t>仅活动日期；原始提交时间未知</t>
        </is>
      </c>
      <c r="G17" s="3" t="inlineStr">
        <is>
          <t>2026-05-06</t>
        </is>
      </c>
      <c r="H17" s="3" t="inlineStr">
        <is>
          <t>按照公司的最新规划，光模块业务何时能做到行业第三？应该比之前预计的2030年提早了吧？</t>
        </is>
      </c>
      <c r="I17" s="3" t="inlineStr">
        <is>
          <t>按照公司的最新规划，光模块业务何时能做到行业第三？应该比之前预计的2030年提早了吧？</t>
        </is>
      </c>
      <c r="J17" s="3" t="inlineStr">
        <is>
          <t>仅合并PDF换行与多余空格</t>
        </is>
      </c>
      <c r="K17" s="3" t="inlineStr">
        <is>
          <t>https://file.finance.sina.com.cn/211.154.219.97:9494/MRGG/CNSESZ_STOCK/2026/2026-5/2026-05-07/12300590.PDF</t>
        </is>
      </c>
      <c r="L17" s="3" t="inlineStr">
        <is>
          <t>记录2026-002，第2问，PDF第1页</t>
        </is>
      </c>
      <c r="M17" s="3" t="inlineStr">
        <is>
          <t>2026-05-05 23:59:59+08:00</t>
        </is>
      </c>
      <c r="N17" s="3" t="inlineStr">
        <is>
          <t>活动日前一日末，仅作临时代理；不能证明早于预征集提问</t>
        </is>
      </c>
      <c r="O17" s="3" t="inlineStr">
        <is>
          <t>D</t>
        </is>
      </c>
      <c r="P17" s="3" t="inlineStr">
        <is>
          <t>["E18"]</t>
        </is>
      </c>
      <c r="Q17" s="3" t="inlineStr">
        <is>
          <t>U：原件已归档，原始提问时点仍缺</t>
        </is>
      </c>
      <c r="R17" s="3" t="inlineStr">
        <is>
          <t>补实际提问时间及截止日前补充公告；不把活动日当提交日</t>
        </is>
      </c>
    </row>
    <row r="18" ht="75" customHeight="1">
      <c r="A18" s="3" t="inlineStr">
        <is>
          <t>P-A17</t>
        </is>
      </c>
      <c r="B18" s="3" t="inlineStr">
        <is>
          <t>立讯精密</t>
        </is>
      </c>
      <c r="C18" s="3" t="inlineStr">
        <is>
          <t>002475</t>
        </is>
      </c>
      <c r="D18" s="3" t="inlineStr">
        <is>
          <t>公司披露的网上说明会记录；新浪PDF镜像</t>
        </is>
      </c>
      <c r="E18" s="3" t="n"/>
      <c r="F18" s="3" t="inlineStr">
        <is>
          <t>仅活动日期；原始提交时间未知</t>
        </is>
      </c>
      <c r="G18" s="3" t="inlineStr">
        <is>
          <t>2026-05-06</t>
        </is>
      </c>
      <c r="H18" s="3" t="inlineStr">
        <is>
          <t>对于目前股价，公司认为是否合理，或者公司的期许或目标是？</t>
        </is>
      </c>
      <c r="I18" s="3" t="inlineStr">
        <is>
          <t>对于目前股价，公司认为是否合理，或者公司的期许或目标是？</t>
        </is>
      </c>
      <c r="J18" s="3" t="inlineStr">
        <is>
          <t>仅合并PDF换行与多余空格</t>
        </is>
      </c>
      <c r="K18" s="3" t="inlineStr">
        <is>
          <t>https://file.finance.sina.com.cn/211.154.219.97:9494/MRGG/CNSESZ_STOCK/2026/2026-5/2026-05-07/12300590.PDF</t>
        </is>
      </c>
      <c r="L18" s="3" t="inlineStr">
        <is>
          <t>记录2026-002，第14问，PDF第3页</t>
        </is>
      </c>
      <c r="M18" s="3" t="inlineStr">
        <is>
          <t>2026-05-05 23:59:59+08:00</t>
        </is>
      </c>
      <c r="N18" s="3" t="inlineStr">
        <is>
          <t>活动日前一日末，仅作临时代理；不能证明早于预征集提问</t>
        </is>
      </c>
      <c r="O18" s="3" t="inlineStr">
        <is>
          <t>D</t>
        </is>
      </c>
      <c r="P18" s="3" t="inlineStr">
        <is>
          <t>["E20"]</t>
        </is>
      </c>
      <c r="Q18" s="3" t="inlineStr">
        <is>
          <t>U：原件已归档，原始提问时点仍缺</t>
        </is>
      </c>
      <c r="R18" s="3" t="inlineStr">
        <is>
          <t>补实际提问时间及截止日前补充公告；不把活动日当提交日</t>
        </is>
      </c>
    </row>
    <row r="19" ht="75" customHeight="1">
      <c r="A19" s="3" t="inlineStr">
        <is>
          <t>P-A18</t>
        </is>
      </c>
      <c r="B19" s="3" t="inlineStr">
        <is>
          <t>立讯精密</t>
        </is>
      </c>
      <c r="C19" s="3" t="inlineStr">
        <is>
          <t>002475</t>
        </is>
      </c>
      <c r="D19" s="3" t="inlineStr">
        <is>
          <t>公司披露的网上说明会记录；新浪PDF镜像</t>
        </is>
      </c>
      <c r="E19" s="3" t="n"/>
      <c r="F19" s="3" t="inlineStr">
        <is>
          <t>仅活动日期；原始提交时间未知</t>
        </is>
      </c>
      <c r="G19" s="3" t="inlineStr">
        <is>
          <t>2026-05-06</t>
        </is>
      </c>
      <c r="H19" s="3" t="inlineStr">
        <is>
          <t>请问OpenAI智能手机是公司全部代工吗？</t>
        </is>
      </c>
      <c r="I19" s="3" t="inlineStr">
        <is>
          <t>请问OpenAI智能手机是公司全部代工吗？</t>
        </is>
      </c>
      <c r="J19" s="3" t="inlineStr">
        <is>
          <t>仅合并PDF换行与多余空格</t>
        </is>
      </c>
      <c r="K19" s="3" t="inlineStr">
        <is>
          <t>https://file.finance.sina.com.cn/211.154.219.97:9494/MRGG/CNSESZ_STOCK/2026/2026-5/2026-05-07/12300590.PDF</t>
        </is>
      </c>
      <c r="L19" s="3" t="inlineStr">
        <is>
          <t>记录2026-002，第18问，PDF第3页</t>
        </is>
      </c>
      <c r="M19" s="3" t="inlineStr">
        <is>
          <t>2026-05-05 23:59:59+08:00</t>
        </is>
      </c>
      <c r="N19" s="3" t="inlineStr">
        <is>
          <t>活动日前一日末，仅作临时代理；不能证明早于预征集提问</t>
        </is>
      </c>
      <c r="O19" s="3" t="inlineStr">
        <is>
          <t>D</t>
        </is>
      </c>
      <c r="P19" s="3" t="inlineStr">
        <is>
          <t>["E18"]</t>
        </is>
      </c>
      <c r="Q19" s="3" t="inlineStr">
        <is>
          <t>U：原件已归档，原始提问时点仍缺</t>
        </is>
      </c>
      <c r="R19" s="3" t="inlineStr">
        <is>
          <t>补实际提问时间及截止日前补充公告；不把活动日当提交日</t>
        </is>
      </c>
    </row>
    <row r="20" ht="75" customHeight="1">
      <c r="A20" s="3" t="inlineStr">
        <is>
          <t>P-A19</t>
        </is>
      </c>
      <c r="B20" s="3" t="inlineStr">
        <is>
          <t>立讯精密</t>
        </is>
      </c>
      <c r="C20" s="3" t="inlineStr">
        <is>
          <t>002475</t>
        </is>
      </c>
      <c r="D20" s="3" t="inlineStr">
        <is>
          <t>公司披露的网上说明会记录；新浪PDF镜像</t>
        </is>
      </c>
      <c r="E20" s="3" t="n"/>
      <c r="F20" s="3" t="inlineStr">
        <is>
          <t>仅活动日期；原始提交时间未知</t>
        </is>
      </c>
      <c r="G20" s="3" t="inlineStr">
        <is>
          <t>2026-05-06</t>
        </is>
      </c>
      <c r="H20" s="3" t="inlineStr">
        <is>
          <t>能否提供AI服务器全年订单量和毛利率目标数据？</t>
        </is>
      </c>
      <c r="I20" s="3" t="inlineStr">
        <is>
          <t>能否提供AI服务器全年订单量和毛利率目标数据？</t>
        </is>
      </c>
      <c r="J20" s="3" t="inlineStr">
        <is>
          <t>仅合并PDF换行与多余空格</t>
        </is>
      </c>
      <c r="K20" s="3" t="inlineStr">
        <is>
          <t>https://file.finance.sina.com.cn/211.154.219.97:9494/MRGG/CNSESZ_STOCK/2026/2026-5/2026-05-07/12300590.PDF</t>
        </is>
      </c>
      <c r="L20" s="3" t="inlineStr">
        <is>
          <t>记录2026-002，第67问，PDF第11页</t>
        </is>
      </c>
      <c r="M20" s="3" t="inlineStr">
        <is>
          <t>2026-05-05 23:59:59+08:00</t>
        </is>
      </c>
      <c r="N20" s="3" t="inlineStr">
        <is>
          <t>活动日前一日末，仅作临时代理；不能证明早于预征集提问</t>
        </is>
      </c>
      <c r="O20" s="3" t="inlineStr">
        <is>
          <t>D</t>
        </is>
      </c>
      <c r="P20" s="3" t="inlineStr">
        <is>
          <t>["E18"]</t>
        </is>
      </c>
      <c r="Q20" s="3" t="inlineStr">
        <is>
          <t>U：原件已归档，原始提问时点仍缺</t>
        </is>
      </c>
      <c r="R20" s="3" t="inlineStr">
        <is>
          <t>补实际提问时间及截止日前补充公告；不把活动日当提交日</t>
        </is>
      </c>
    </row>
    <row r="21" ht="75" customHeight="1">
      <c r="A21" s="3" t="inlineStr">
        <is>
          <t>P-A20</t>
        </is>
      </c>
      <c r="B21" s="3" t="inlineStr">
        <is>
          <t>立讯精密</t>
        </is>
      </c>
      <c r="C21" s="3" t="inlineStr">
        <is>
          <t>002475</t>
        </is>
      </c>
      <c r="D21" s="3" t="inlineStr">
        <is>
          <t>公司披露的网上说明会记录；新浪PDF镜像</t>
        </is>
      </c>
      <c r="E21" s="3" t="n"/>
      <c r="F21" s="3" t="inlineStr">
        <is>
          <t>仅活动日期；原始提交时间未知</t>
        </is>
      </c>
      <c r="G21" s="3" t="inlineStr">
        <is>
          <t>2026-05-06</t>
        </is>
      </c>
      <c r="H21" s="3" t="inlineStr">
        <is>
          <t>您好，截止4月30日的股东人数是多少？</t>
        </is>
      </c>
      <c r="I21" s="3" t="inlineStr">
        <is>
          <t>您好，截止4月30日的股东人数是多少？</t>
        </is>
      </c>
      <c r="J21" s="3" t="inlineStr">
        <is>
          <t>仅合并PDF换行与多余空格</t>
        </is>
      </c>
      <c r="K21" s="3" t="inlineStr">
        <is>
          <t>https://file.finance.sina.com.cn/211.154.219.97:9494/MRGG/CNSESZ_STOCK/2026/2026-5/2026-05-07/12300590.PDF</t>
        </is>
      </c>
      <c r="L21" s="3" t="inlineStr">
        <is>
          <t>记录2026-002，第85问，PDF第14页</t>
        </is>
      </c>
      <c r="M21" s="3" t="inlineStr">
        <is>
          <t>2026-05-05 23:59:59+08:00</t>
        </is>
      </c>
      <c r="N21" s="3" t="inlineStr">
        <is>
          <t>活动日前一日末，仅作临时代理；不能证明早于预征集提问</t>
        </is>
      </c>
      <c r="O21" s="3" t="inlineStr">
        <is>
          <t>D</t>
        </is>
      </c>
      <c r="P21" s="3" t="inlineStr">
        <is>
          <t>["E21"]</t>
        </is>
      </c>
      <c r="Q21" s="3" t="inlineStr">
        <is>
          <t>U：原件已归档，原始提问时点仍缺</t>
        </is>
      </c>
      <c r="R21" s="3" t="inlineStr">
        <is>
          <t>补实际提问时间及截止日前补充公告；不把活动日当提交日；补4月30日股东户数披露</t>
        </is>
      </c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9" t="inlineStr">
        <is>
          <t>evidence_id</t>
        </is>
      </c>
      <c r="B1" s="9" t="inlineStr">
        <is>
          <t>company</t>
        </is>
      </c>
      <c r="C1" s="9" t="inlineStr">
        <is>
          <t>title</t>
        </is>
      </c>
      <c r="D1" s="9" t="inlineStr">
        <is>
          <t>disclosure_date</t>
        </is>
      </c>
      <c r="E1" s="9" t="inlineStr">
        <is>
          <t>print_pages</t>
        </is>
      </c>
      <c r="F1" s="9" t="inlineStr">
        <is>
          <t>pdf_pages_1based</t>
        </is>
      </c>
      <c r="G1" s="9" t="inlineStr">
        <is>
          <t>url</t>
        </is>
      </c>
      <c r="H1" s="9" t="inlineStr">
        <is>
          <t>facts_paraphrase</t>
        </is>
      </c>
      <c r="I1" s="9" t="inlineStr">
        <is>
          <t>note</t>
        </is>
      </c>
      <c r="J1" s="9" t="inlineStr">
        <is>
          <t>archive_status</t>
        </is>
      </c>
      <c r="K1" s="9" t="inlineStr">
        <is>
          <t>original_sha256</t>
        </is>
      </c>
      <c r="L1" s="9" t="inlineStr">
        <is>
          <t>verified_by</t>
        </is>
      </c>
      <c r="M1" s="9" t="inlineStr">
        <is>
          <t>checked_date</t>
        </is>
      </c>
      <c r="N1" s="9" t="inlineStr">
        <is>
          <t>original_filename</t>
        </is>
      </c>
      <c r="O1" s="9" t="inlineStr">
        <is>
          <t>source_id</t>
        </is>
      </c>
      <c r="P1" s="9" t="inlineStr">
        <is>
          <t>page_ids</t>
        </is>
      </c>
    </row>
    <row r="2" ht="75" customHeight="1">
      <c r="A2" s="3" t="inlineStr">
        <is>
          <t>E01</t>
        </is>
      </c>
      <c r="B2" s="3" t="inlineStr">
        <is>
          <t>智动力</t>
        </is>
      </c>
      <c r="C2" s="3" t="inlineStr">
        <is>
          <t>2025年年度报告全文</t>
        </is>
      </c>
      <c r="D2" s="3" t="inlineStr">
        <is>
          <t>2026-04-29</t>
        </is>
      </c>
      <c r="E2" s="3" t="inlineStr">
        <is>
          <t>8、10</t>
        </is>
      </c>
      <c r="F2" s="3" t="inlineStr">
        <is>
          <t>8、10</t>
        </is>
      </c>
      <c r="G2" s="3" t="inlineStr">
        <is>
          <t>https://static.cninfo.com.cn/finalpage/2026-04-29/1225251420.PDF</t>
        </is>
      </c>
      <c r="H2" s="3" t="inlineStr">
        <is>
          <t>2025/2024归母净利润分别为-134368593.65/-154993929.21元；扣非归母为-148776056.68/-145241722.90元；归母口径非经常性损益为14407463.03/-9752206.31元。 第10页：非流动性资产处置损益2025/2024为373530.50/-13101023.90元；委托他人投资或管理资产损益为13592454.83/-1349460.00元。</t>
        </is>
      </c>
      <c r="I2" s="3" t="inlineStr">
        <is>
          <t>归母变化由扣非归母变化与归母非经常性损益变化构成；具体非经常项目的税前增量不能与税后归母变动直接相加。</t>
        </is>
      </c>
      <c r="J2" s="3" t="inlineStr">
        <is>
          <t>完整PDF已在工作区归档；原页文本与精选页PDF随包交付</t>
        </is>
      </c>
      <c r="K2" s="3" t="inlineStr">
        <is>
          <t>05f2846b321d45cdf6ff0f79d67b5dd32a83c1a44622f55e4b4a37079f772155</t>
        </is>
      </c>
      <c r="L2" s="3" t="inlineStr">
        <is>
          <t>助手对照上传原件核读；关键表页视觉核对；A/D独立复核未完成</t>
        </is>
      </c>
      <c r="M2" s="3" t="inlineStr">
        <is>
          <t>2026-10-23</t>
        </is>
      </c>
      <c r="N2" s="3" t="inlineStr">
        <is>
          <t>1225251420.pdf</t>
        </is>
      </c>
      <c r="O2" s="3" t="inlineStr">
        <is>
          <t>ZD_AR</t>
        </is>
      </c>
      <c r="P2" s="3" t="inlineStr">
        <is>
          <t>["ZD_AR_p008", "ZD_AR_p010"]</t>
        </is>
      </c>
    </row>
    <row r="3" ht="75" customHeight="1">
      <c r="A3" s="3" t="inlineStr">
        <is>
          <t>E02</t>
        </is>
      </c>
      <c r="B3" s="3" t="inlineStr">
        <is>
          <t>智动力</t>
        </is>
      </c>
      <c r="C3" s="3" t="inlineStr">
        <is>
          <t>2025年年度报告全文</t>
        </is>
      </c>
      <c r="D3" s="3" t="inlineStr">
        <is>
          <t>2026-04-29</t>
        </is>
      </c>
      <c r="E3" s="3" t="inlineStr">
        <is>
          <t>25–26</t>
        </is>
      </c>
      <c r="F3" s="3" t="inlineStr">
        <is>
          <t>25–26</t>
        </is>
      </c>
      <c r="G3" s="3" t="inlineStr">
        <is>
          <t>https://static.cninfo.com.cn/finalpage/2026-04-29/1225251420.PDF</t>
        </is>
      </c>
      <c r="H3" s="3" t="inlineStr">
        <is>
          <t>2025/2024研发费用为96233291.27/80338974.33元。研发项目表涉及背板结构、复合板材、电池生产治具。</t>
        </is>
      </c>
      <c r="I3" s="3" t="inlineStr"/>
      <c r="J3" s="3" t="inlineStr">
        <is>
          <t>完整PDF已在工作区归档；原页文本与精选页PDF随包交付</t>
        </is>
      </c>
      <c r="K3" s="3" t="inlineStr">
        <is>
          <t>05f2846b321d45cdf6ff0f79d67b5dd32a83c1a44622f55e4b4a37079f772155</t>
        </is>
      </c>
      <c r="L3" s="3" t="inlineStr">
        <is>
          <t>助手对照上传原件核读；关键表页视觉核对；A/D独立复核未完成</t>
        </is>
      </c>
      <c r="M3" s="3" t="inlineStr">
        <is>
          <t>2026-10-23</t>
        </is>
      </c>
      <c r="N3" s="3" t="inlineStr">
        <is>
          <t>1225251420.pdf</t>
        </is>
      </c>
      <c r="O3" s="3" t="inlineStr">
        <is>
          <t>ZD_AR</t>
        </is>
      </c>
      <c r="P3" s="3" t="inlineStr">
        <is>
          <t>["ZD_AR_p025", "ZD_AR_p026"]</t>
        </is>
      </c>
    </row>
    <row r="4" ht="75" customHeight="1">
      <c r="A4" s="3" t="inlineStr">
        <is>
          <t>E03</t>
        </is>
      </c>
      <c r="B4" s="3" t="inlineStr">
        <is>
          <t>智动力</t>
        </is>
      </c>
      <c r="C4" s="3" t="inlineStr">
        <is>
          <t>2026年第一季度报告</t>
        </is>
      </c>
      <c r="D4" s="3" t="inlineStr">
        <is>
          <t>2026-04-29</t>
        </is>
      </c>
      <c r="E4" s="3" t="inlineStr">
        <is>
          <t>3</t>
        </is>
      </c>
      <c r="F4" s="3" t="inlineStr">
        <is>
          <t>3</t>
        </is>
      </c>
      <c r="G4" s="3" t="inlineStr">
        <is>
          <t>https://static.cninfo.com.cn/finalpage/2026-04-29/1225251431.PDF</t>
        </is>
      </c>
      <c r="H4" s="3" t="inlineStr">
        <is>
          <t>2026/2025第一季度研发费用为24731531.93/16910024.94元。该季度表未按研发项目拆分。</t>
        </is>
      </c>
      <c r="I4" s="3" t="inlineStr"/>
      <c r="J4" s="3" t="inlineStr">
        <is>
          <t>完整PDF已在工作区归档；原页文本已随包交付</t>
        </is>
      </c>
      <c r="K4" s="3" t="inlineStr">
        <is>
          <t>61c426404e84961f66043c0a0dc51efb7fe3ea004487d2e30d838482b295a85c</t>
        </is>
      </c>
      <c r="L4" s="3" t="inlineStr">
        <is>
          <t>助手对照上传原件；待A/D独立复核</t>
        </is>
      </c>
      <c r="M4" s="3" t="inlineStr">
        <is>
          <t>2026-10-22</t>
        </is>
      </c>
      <c r="N4" s="3" t="inlineStr">
        <is>
          <t>1225251431.pdf</t>
        </is>
      </c>
      <c r="O4" s="3" t="inlineStr">
        <is>
          <t>ZD_Q1</t>
        </is>
      </c>
      <c r="P4" s="3" t="inlineStr">
        <is>
          <t>["ZD_Q1_p003"]</t>
        </is>
      </c>
    </row>
    <row r="5" ht="75" customHeight="1">
      <c r="A5" s="3" t="inlineStr">
        <is>
          <t>E04</t>
        </is>
      </c>
      <c r="B5" s="3" t="inlineStr">
        <is>
          <t>智动力</t>
        </is>
      </c>
      <c r="C5" s="3" t="inlineStr">
        <is>
          <t>2025年年度报告全文</t>
        </is>
      </c>
      <c r="D5" s="3" t="inlineStr">
        <is>
          <t>2026-04-29</t>
        </is>
      </c>
      <c r="E5" s="3" t="inlineStr">
        <is>
          <t>21</t>
        </is>
      </c>
      <c r="F5" s="3" t="inlineStr">
        <is>
          <t>21</t>
        </is>
      </c>
      <c r="G5" s="3" t="inlineStr">
        <is>
          <t>https://static.cninfo.com.cn/finalpage/2026-04-29/1225251420.PDF</t>
        </is>
      </c>
      <c r="H5" s="3" t="inlineStr">
        <is>
          <t>2025年境外营业收入353212851.24元，营业收入合计1591073573.72元；2024年境外营业收入464828484.55元。</t>
        </is>
      </c>
      <c r="I5" s="3" t="inlineStr"/>
      <c r="J5" s="3" t="inlineStr">
        <is>
          <t>完整PDF已在工作区归档；原页文本与精选页PDF随包交付</t>
        </is>
      </c>
      <c r="K5" s="3" t="inlineStr">
        <is>
          <t>05f2846b321d45cdf6ff0f79d67b5dd32a83c1a44622f55e4b4a37079f772155</t>
        </is>
      </c>
      <c r="L5" s="3" t="inlineStr">
        <is>
          <t>助手对照上传原件核读；关键表页视觉核对；A/D独立复核未完成</t>
        </is>
      </c>
      <c r="M5" s="3" t="inlineStr">
        <is>
          <t>2026-10-23</t>
        </is>
      </c>
      <c r="N5" s="3" t="inlineStr">
        <is>
          <t>1225251420.pdf</t>
        </is>
      </c>
      <c r="O5" s="3" t="inlineStr">
        <is>
          <t>ZD_AR</t>
        </is>
      </c>
      <c r="P5" s="3" t="inlineStr">
        <is>
          <t>["ZD_AR_p021"]</t>
        </is>
      </c>
    </row>
    <row r="6" ht="75" customHeight="1">
      <c r="A6" s="3" t="inlineStr">
        <is>
          <t>E05</t>
        </is>
      </c>
      <c r="B6" s="3" t="inlineStr">
        <is>
          <t>智动力</t>
        </is>
      </c>
      <c r="C6" s="3" t="inlineStr">
        <is>
          <t>2025年年度报告全文</t>
        </is>
      </c>
      <c r="D6" s="3" t="inlineStr">
        <is>
          <t>2026-04-29</t>
        </is>
      </c>
      <c r="E6" s="3" t="inlineStr">
        <is>
          <t>31–33</t>
        </is>
      </c>
      <c r="F6" s="3" t="inlineStr">
        <is>
          <t>31–33</t>
        </is>
      </c>
      <c r="G6" s="3" t="inlineStr">
        <is>
          <t>https://static.cninfo.com.cn/finalpage/2026-04-29/1225251420.PDF</t>
        </is>
      </c>
      <c r="H6" s="3" t="inlineStr">
        <is>
          <t>公司披露越南生产布局；未来展望涉及产能优化及协同。此处记录公司披露的布局与计划。</t>
        </is>
      </c>
      <c r="I6" s="3" t="inlineStr"/>
      <c r="J6" s="3" t="inlineStr">
        <is>
          <t>完整PDF已在工作区归档；原页文本与精选页PDF随包交付</t>
        </is>
      </c>
      <c r="K6" s="3" t="inlineStr">
        <is>
          <t>05f2846b321d45cdf6ff0f79d67b5dd32a83c1a44622f55e4b4a37079f772155</t>
        </is>
      </c>
      <c r="L6" s="3" t="inlineStr">
        <is>
          <t>助手对照上传原件核读；关键表页视觉核对；A/D独立复核未完成</t>
        </is>
      </c>
      <c r="M6" s="3" t="inlineStr">
        <is>
          <t>2026-10-23</t>
        </is>
      </c>
      <c r="N6" s="3" t="inlineStr">
        <is>
          <t>1225251420.pdf</t>
        </is>
      </c>
      <c r="O6" s="3" t="inlineStr">
        <is>
          <t>ZD_AR</t>
        </is>
      </c>
      <c r="P6" s="3" t="inlineStr">
        <is>
          <t>["ZD_AR_p031", "ZD_AR_p032", "ZD_AR_p033"]</t>
        </is>
      </c>
    </row>
    <row r="7" ht="75" customHeight="1">
      <c r="A7" s="3" t="inlineStr">
        <is>
          <t>E06</t>
        </is>
      </c>
      <c r="B7" s="3" t="inlineStr">
        <is>
          <t>智动力</t>
        </is>
      </c>
      <c r="C7" s="3" t="inlineStr">
        <is>
          <t>2025年年度报告全文</t>
        </is>
      </c>
      <c r="D7" s="3" t="inlineStr">
        <is>
          <t>2026-04-29</t>
        </is>
      </c>
      <c r="E7" s="3" t="inlineStr">
        <is>
          <t>12–13</t>
        </is>
      </c>
      <c r="F7" s="3" t="inlineStr">
        <is>
          <t>12–13</t>
        </is>
      </c>
      <c r="G7" s="3" t="inlineStr">
        <is>
          <t>https://static.cninfo.com.cn/finalpage/2026-04-29/1225251420.PDF</t>
        </is>
      </c>
      <c r="H7" s="3" t="inlineStr">
        <is>
          <t>年报将载重低空飞行器、人形机器人列为固液混合产品的应用方向，讨论能量密度、安全和寿命等需求。</t>
        </is>
      </c>
      <c r="I7" s="3" t="inlineStr"/>
      <c r="J7" s="3" t="inlineStr">
        <is>
          <t>完整PDF已在工作区归档；原页文本与精选页PDF随包交付</t>
        </is>
      </c>
      <c r="K7" s="3" t="inlineStr">
        <is>
          <t>05f2846b321d45cdf6ff0f79d67b5dd32a83c1a44622f55e4b4a37079f772155</t>
        </is>
      </c>
      <c r="L7" s="3" t="inlineStr">
        <is>
          <t>助手对照上传原件核读；关键表页视觉核对；A/D独立复核未完成</t>
        </is>
      </c>
      <c r="M7" s="3" t="inlineStr">
        <is>
          <t>2026-10-23</t>
        </is>
      </c>
      <c r="N7" s="3" t="inlineStr">
        <is>
          <t>1225251420.pdf</t>
        </is>
      </c>
      <c r="O7" s="3" t="inlineStr">
        <is>
          <t>ZD_AR</t>
        </is>
      </c>
      <c r="P7" s="3" t="inlineStr">
        <is>
          <t>["ZD_AR_p012", "ZD_AR_p013"]</t>
        </is>
      </c>
    </row>
    <row r="8" ht="75" customHeight="1">
      <c r="A8" s="3" t="inlineStr">
        <is>
          <t>E07</t>
        </is>
      </c>
      <c r="B8" s="3" t="inlineStr">
        <is>
          <t>智动力</t>
        </is>
      </c>
      <c r="C8" s="3" t="inlineStr">
        <is>
          <t>2025年年度报告全文</t>
        </is>
      </c>
      <c r="D8" s="3" t="inlineStr">
        <is>
          <t>2026-04-29</t>
        </is>
      </c>
      <c r="E8" s="3" t="inlineStr">
        <is>
          <t>62、64–66</t>
        </is>
      </c>
      <c r="F8" s="3" t="inlineStr">
        <is>
          <t>62、64–66</t>
        </is>
      </c>
      <c r="G8" s="3" t="inlineStr">
        <is>
          <t>https://static.cninfo.com.cn/finalpage/2026-04-29/1225251420.PDF</t>
        </is>
      </c>
      <c r="H8" s="3" t="inlineStr">
        <is>
          <t>年报第62、64、66页披露三个项目终止后永久补流324274902.04元，其中利息收入、手续费及汇率变动等影响32917845.77元；第65页项目表合计29135.71万元。</t>
        </is>
      </c>
      <c r="I8" s="3" t="inlineStr">
        <is>
          <t>324274902.04−32917845.77＝291357056.27元，折合29135.705627万元，保留两位为29135.71万元。两数须附各自口径；不解释为所有募集资金全部补流，也不推断具体新业务获得同额专款。</t>
        </is>
      </c>
      <c r="J8" s="3" t="inlineStr">
        <is>
          <t>完整PDF已在工作区归档；原页文本与精选页PDF随包交付</t>
        </is>
      </c>
      <c r="K8" s="3" t="inlineStr">
        <is>
          <t>05f2846b321d45cdf6ff0f79d67b5dd32a83c1a44622f55e4b4a37079f772155</t>
        </is>
      </c>
      <c r="L8" s="3" t="inlineStr">
        <is>
          <t>助手对照上传原件核读；关键表页视觉核对；A/D独立复核未完成</t>
        </is>
      </c>
      <c r="M8" s="3" t="inlineStr">
        <is>
          <t>2026-10-23</t>
        </is>
      </c>
      <c r="N8" s="3" t="inlineStr">
        <is>
          <t>1225251420.pdf</t>
        </is>
      </c>
      <c r="O8" s="3" t="inlineStr">
        <is>
          <t>ZD_AR</t>
        </is>
      </c>
      <c r="P8" s="3" t="inlineStr">
        <is>
          <t>["ZD_AR_p062", "ZD_AR_p064", "ZD_AR_p065", "ZD_AR_p066"]</t>
        </is>
      </c>
    </row>
    <row r="9" ht="75" customHeight="1">
      <c r="A9" s="3" t="inlineStr">
        <is>
          <t>E08</t>
        </is>
      </c>
      <c r="B9" s="3" t="inlineStr">
        <is>
          <t>智动力</t>
        </is>
      </c>
      <c r="C9" s="3" t="inlineStr">
        <is>
          <t>2025年年度报告全文</t>
        </is>
      </c>
      <c r="D9" s="3" t="inlineStr">
        <is>
          <t>2026-04-29</t>
        </is>
      </c>
      <c r="E9" s="3" t="inlineStr">
        <is>
          <t>2、33</t>
        </is>
      </c>
      <c r="F9" s="3" t="inlineStr">
        <is>
          <t>2、33</t>
        </is>
      </c>
      <c r="G9" s="3" t="inlineStr">
        <is>
          <t>https://static.cninfo.com.cn/finalpage/2026-04-29/1225251420.PDF</t>
        </is>
      </c>
      <c r="H9" s="3" t="inlineStr">
        <is>
          <t>年度报告提示未来计划存在不确定性；新业务发展、市场与实施进展存在风险。</t>
        </is>
      </c>
      <c r="I9" s="3" t="inlineStr"/>
      <c r="J9" s="3" t="inlineStr">
        <is>
          <t>完整PDF已在工作区归档；原页文本与精选页PDF随包交付</t>
        </is>
      </c>
      <c r="K9" s="3" t="inlineStr">
        <is>
          <t>05f2846b321d45cdf6ff0f79d67b5dd32a83c1a44622f55e4b4a37079f772155</t>
        </is>
      </c>
      <c r="L9" s="3" t="inlineStr">
        <is>
          <t>助手对照上传原件核读；关键表页视觉核对；A/D独立复核未完成</t>
        </is>
      </c>
      <c r="M9" s="3" t="inlineStr">
        <is>
          <t>2026-10-23</t>
        </is>
      </c>
      <c r="N9" s="3" t="inlineStr">
        <is>
          <t>1225251420.pdf</t>
        </is>
      </c>
      <c r="O9" s="3" t="inlineStr">
        <is>
          <t>ZD_AR</t>
        </is>
      </c>
      <c r="P9" s="3" t="inlineStr">
        <is>
          <t>["ZD_AR_p002", "ZD_AR_p033"]</t>
        </is>
      </c>
    </row>
    <row r="10" ht="75" customHeight="1">
      <c r="A10" s="3" t="inlineStr">
        <is>
          <t>E09</t>
        </is>
      </c>
      <c r="B10" s="3" t="inlineStr">
        <is>
          <t>苏泊尔</t>
        </is>
      </c>
      <c r="C10" s="3" t="inlineStr">
        <is>
          <t>2025年年度报告全文</t>
        </is>
      </c>
      <c r="D10" s="3" t="inlineStr">
        <is>
          <t>2026-04-03</t>
        </is>
      </c>
      <c r="E10" s="3" t="inlineStr">
        <is>
          <t>10–13</t>
        </is>
      </c>
      <c r="F10" s="3" t="inlineStr">
        <is>
          <t>10–13</t>
        </is>
      </c>
      <c r="G10" s="3" t="inlineStr">
        <is>
          <t>https://static.cninfo.com.cn/finalpage/2026-04-03/1225076804.PDF</t>
        </is>
      </c>
      <c r="H10" s="3" t="inlineStr">
        <is>
          <t>公司列示炊具、厨房小家电等业务。第12页营业收入构成表：烹饪电器8711169417.63元、同比0.54%；食物料理电器3738068530.81元、同比-1.64%。第13页另一张主要产品表：对应数值为8728463967.63元、0.74%；3720773980.81元、-2.10%。两表存在数值差异。</t>
        </is>
      </c>
      <c r="I10" s="3" t="inlineStr">
        <is>
          <t>U：原PDF视觉核实两表差异。烹饪电器第二表高17294550.00元，食物料理电器低同额；相互抵消不能证明差异原因。未检出解释性更正不等于不存在更正。</t>
        </is>
      </c>
      <c r="J10" s="3" t="inlineStr">
        <is>
          <t>完整PDF已在工作区归档；原页文本已随包交付</t>
        </is>
      </c>
      <c r="K10" s="3" t="inlineStr">
        <is>
          <t>d323425e24b34f7cfa8fbff819cdd1b0daa47a5bd331da6d27c9f956478a6a7b</t>
        </is>
      </c>
      <c r="L10" s="3" t="inlineStr">
        <is>
          <t>助手对照上传原件；待A/D独立复核</t>
        </is>
      </c>
      <c r="M10" s="3" t="inlineStr">
        <is>
          <t>2026-10-22</t>
        </is>
      </c>
      <c r="N10" s="3" t="inlineStr">
        <is>
          <t>1225076804.pdf</t>
        </is>
      </c>
      <c r="O10" s="3" t="inlineStr">
        <is>
          <t>SP_AR</t>
        </is>
      </c>
      <c r="P10" s="3" t="inlineStr">
        <is>
          <t>["SP_AR_p010", "SP_AR_p011", "SP_AR_p012", "SP_AR_p013"]</t>
        </is>
      </c>
    </row>
    <row r="11" ht="75" customHeight="1">
      <c r="A11" s="3" t="inlineStr">
        <is>
          <t>E10</t>
        </is>
      </c>
      <c r="B11" s="3" t="inlineStr">
        <is>
          <t>苏泊尔</t>
        </is>
      </c>
      <c r="C11" s="3" t="inlineStr">
        <is>
          <t>2025年年度报告全文</t>
        </is>
      </c>
      <c r="D11" s="3" t="inlineStr">
        <is>
          <t>2026-04-03</t>
        </is>
      </c>
      <c r="E11" s="3" t="inlineStr">
        <is>
          <t>16</t>
        </is>
      </c>
      <c r="F11" s="3" t="inlineStr">
        <is>
          <t>16</t>
        </is>
      </c>
      <c r="G11" s="3" t="inlineStr">
        <is>
          <t>https://static.cninfo.com.cn/finalpage/2026-04-03/1225076804.PDF</t>
        </is>
      </c>
      <c r="H11" s="3" t="inlineStr">
        <is>
          <t>2025/2024研发费用475923455.10/469662999.96元，同比1.33%；研发占营业收入比例均2.09%；研发资本化金额均0元。</t>
        </is>
      </c>
      <c r="I11" s="3" t="inlineStr"/>
      <c r="J11" s="3" t="inlineStr">
        <is>
          <t>完整PDF已在工作区归档；原页文本已随包交付</t>
        </is>
      </c>
      <c r="K11" s="3" t="inlineStr">
        <is>
          <t>d323425e24b34f7cfa8fbff819cdd1b0daa47a5bd331da6d27c9f956478a6a7b</t>
        </is>
      </c>
      <c r="L11" s="3" t="inlineStr">
        <is>
          <t>助手对照上传原件；待A/D独立复核</t>
        </is>
      </c>
      <c r="M11" s="3" t="inlineStr">
        <is>
          <t>2026-10-22</t>
        </is>
      </c>
      <c r="N11" s="3" t="inlineStr">
        <is>
          <t>1225076804.pdf</t>
        </is>
      </c>
      <c r="O11" s="3" t="inlineStr">
        <is>
          <t>SP_AR</t>
        </is>
      </c>
      <c r="P11" s="3" t="inlineStr">
        <is>
          <t>["SP_AR_p016"]</t>
        </is>
      </c>
    </row>
    <row r="12" ht="75" customHeight="1">
      <c r="A12" s="3" t="inlineStr">
        <is>
          <t>E11</t>
        </is>
      </c>
      <c r="B12" s="3" t="inlineStr">
        <is>
          <t>苏泊尔</t>
        </is>
      </c>
      <c r="C12" s="3" t="inlineStr">
        <is>
          <t>2025年年度报告全文</t>
        </is>
      </c>
      <c r="D12" s="3" t="inlineStr">
        <is>
          <t>2026-04-03</t>
        </is>
      </c>
      <c r="E12" s="3" t="inlineStr">
        <is>
          <t>12–14</t>
        </is>
      </c>
      <c r="F12" s="3" t="inlineStr">
        <is>
          <t>12–14</t>
        </is>
      </c>
      <c r="G12" s="3" t="inlineStr">
        <is>
          <t>https://static.cninfo.com.cn/finalpage/2026-04-03/1225076804.PDF</t>
        </is>
      </c>
      <c r="H12" s="3" t="inlineStr">
        <is>
          <t>2025/2024炊具及用具收入6965677978.67/6836158028.21元；炊具销量92664612/85724597台或套。收入同比1.89%，销量同比8.10%。</t>
        </is>
      </c>
      <c r="I12" s="3" t="inlineStr">
        <is>
          <t>以类别总收入/总销量计算隐含均值，不能当作同款商品实际价格。</t>
        </is>
      </c>
      <c r="J12" s="3" t="inlineStr">
        <is>
          <t>完整PDF已在工作区归档；原页文本已随包交付</t>
        </is>
      </c>
      <c r="K12" s="3" t="inlineStr">
        <is>
          <t>d323425e24b34f7cfa8fbff819cdd1b0daa47a5bd331da6d27c9f956478a6a7b</t>
        </is>
      </c>
      <c r="L12" s="3" t="inlineStr">
        <is>
          <t>助手对照上传原件；待A/D独立复核</t>
        </is>
      </c>
      <c r="M12" s="3" t="inlineStr">
        <is>
          <t>2026-10-22</t>
        </is>
      </c>
      <c r="N12" s="3" t="inlineStr">
        <is>
          <t>1225076804.pdf</t>
        </is>
      </c>
      <c r="O12" s="3" t="inlineStr">
        <is>
          <t>SP_AR</t>
        </is>
      </c>
      <c r="P12" s="3" t="inlineStr">
        <is>
          <t>["SP_AR_p012", "SP_AR_p013", "SP_AR_p014"]</t>
        </is>
      </c>
    </row>
    <row r="13" ht="75" customHeight="1">
      <c r="A13" s="3" t="inlineStr">
        <is>
          <t>E12</t>
        </is>
      </c>
      <c r="B13" s="3" t="inlineStr">
        <is>
          <t>苏泊尔</t>
        </is>
      </c>
      <c r="C13" s="3" t="inlineStr">
        <is>
          <t>2025年年度报告全文</t>
        </is>
      </c>
      <c r="D13" s="3" t="inlineStr">
        <is>
          <t>2026-04-03</t>
        </is>
      </c>
      <c r="E13" s="3" t="inlineStr">
        <is>
          <t>11–12</t>
        </is>
      </c>
      <c r="F13" s="3" t="inlineStr">
        <is>
          <t>11–12</t>
        </is>
      </c>
      <c r="G13" s="3" t="inlineStr">
        <is>
          <t>https://static.cninfo.com.cn/finalpage/2026-04-03/1225076804.PDF</t>
        </is>
      </c>
      <c r="H13" s="3" t="inlineStr">
        <is>
          <t>年报描述电商业务增长；一、二级市场发展即时零售，三、四级市场推进O2O运营。所列段落没有线上收入占比的两年数值。</t>
        </is>
      </c>
      <c r="I13" s="3" t="inlineStr"/>
      <c r="J13" s="3" t="inlineStr">
        <is>
          <t>完整PDF已在工作区归档；原页文本已随包交付</t>
        </is>
      </c>
      <c r="K13" s="3" t="inlineStr">
        <is>
          <t>d323425e24b34f7cfa8fbff819cdd1b0daa47a5bd331da6d27c9f956478a6a7b</t>
        </is>
      </c>
      <c r="L13" s="3" t="inlineStr">
        <is>
          <t>助手对照上传原件；待A/D独立复核</t>
        </is>
      </c>
      <c r="M13" s="3" t="inlineStr">
        <is>
          <t>2026-10-22</t>
        </is>
      </c>
      <c r="N13" s="3" t="inlineStr">
        <is>
          <t>1225076804.pdf</t>
        </is>
      </c>
      <c r="O13" s="3" t="inlineStr">
        <is>
          <t>SP_AR</t>
        </is>
      </c>
      <c r="P13" s="3" t="inlineStr">
        <is>
          <t>["SP_AR_p011", "SP_AR_p012"]</t>
        </is>
      </c>
    </row>
    <row r="14" ht="75" customHeight="1">
      <c r="A14" s="3" t="inlineStr">
        <is>
          <t>E13</t>
        </is>
      </c>
      <c r="B14" s="3" t="inlineStr">
        <is>
          <t>老板电器</t>
        </is>
      </c>
      <c r="C14" s="3" t="inlineStr">
        <is>
          <t>2025年年度报告全文</t>
        </is>
      </c>
      <c r="D14" s="3" t="inlineStr">
        <is>
          <t>2026-04-29</t>
        </is>
      </c>
      <c r="E14" s="3" t="inlineStr">
        <is>
          <t>12、16–17</t>
        </is>
      </c>
      <c r="F14" s="3" t="inlineStr">
        <is>
          <t>12、16–17</t>
        </is>
      </c>
      <c r="G14" s="3" t="inlineStr">
        <is>
          <t>https://static.cninfo.com.cn/finalpage/2026-04-29/1225237757.PDF</t>
        </is>
      </c>
      <c r="H14" s="3" t="inlineStr">
        <is>
          <t>2025研发费用及研发投入均367949907.26元，营业收入占比3.64%；2024研发投入413659448.81元。2025授权专利1577项，其中发明专利363项。</t>
        </is>
      </c>
      <c r="I14" s="3" t="inlineStr">
        <is>
          <t>专利数不是新品数量；投入不是已实现销售贡献。</t>
        </is>
      </c>
      <c r="J14" s="3" t="inlineStr">
        <is>
          <t>完整PDF已在工作区归档；原页文本已随包交付</t>
        </is>
      </c>
      <c r="K14" s="3" t="inlineStr">
        <is>
          <t>c347927027a30eac0df0ed695f6e5c005a9dd2af8d8337408f7850f310bec6e6</t>
        </is>
      </c>
      <c r="L14" s="3" t="inlineStr">
        <is>
          <t>助手对照上传原件；待A/D独立复核</t>
        </is>
      </c>
      <c r="M14" s="3" t="inlineStr">
        <is>
          <t>2026-10-22</t>
        </is>
      </c>
      <c r="N14" s="3" t="inlineStr">
        <is>
          <t>1225237757.pdf</t>
        </is>
      </c>
      <c r="O14" s="3" t="inlineStr">
        <is>
          <t>LB_AR</t>
        </is>
      </c>
      <c r="P14" s="3" t="inlineStr">
        <is>
          <t>["LB_AR_p012", "LB_AR_p016", "LB_AR_p017"]</t>
        </is>
      </c>
    </row>
    <row r="15" ht="75" customHeight="1">
      <c r="A15" s="3" t="inlineStr">
        <is>
          <t>E14</t>
        </is>
      </c>
      <c r="B15" s="3" t="inlineStr">
        <is>
          <t>老板电器</t>
        </is>
      </c>
      <c r="C15" s="3" t="inlineStr">
        <is>
          <t>2025年年度报告全文</t>
        </is>
      </c>
      <c r="D15" s="3" t="inlineStr">
        <is>
          <t>2026-04-29</t>
        </is>
      </c>
      <c r="E15" s="3" t="inlineStr">
        <is>
          <t>12、14–15</t>
        </is>
      </c>
      <c r="F15" s="3" t="inlineStr">
        <is>
          <t>12、14–15</t>
        </is>
      </c>
      <c r="G15" s="3" t="inlineStr">
        <is>
          <t>https://static.cninfo.com.cn/finalpage/2026-04-29/1225237757.PDF</t>
        </is>
      </c>
      <c r="H15" s="3" t="inlineStr">
        <is>
          <t>公司描述采购、制造、物流与交付的全链路成本管理。家电厨卫实物销量同比-11.77%；原材料成本4350644587.86元，同比-11.49%；制造费用535322463.85元，同比-4.08%。</t>
        </is>
      </c>
      <c r="I15" s="3" t="inlineStr">
        <is>
          <t>成本下降同时伴随销量下降，表格未分解各项措施的节约贡献与年初目标完成率。</t>
        </is>
      </c>
      <c r="J15" s="3" t="inlineStr">
        <is>
          <t>完整PDF已在工作区归档；原页文本已随包交付</t>
        </is>
      </c>
      <c r="K15" s="3" t="inlineStr">
        <is>
          <t>c347927027a30eac0df0ed695f6e5c005a9dd2af8d8337408f7850f310bec6e6</t>
        </is>
      </c>
      <c r="L15" s="3" t="inlineStr">
        <is>
          <t>助手对照上传原件；待A/D独立复核</t>
        </is>
      </c>
      <c r="M15" s="3" t="inlineStr">
        <is>
          <t>2026-10-22</t>
        </is>
      </c>
      <c r="N15" s="3" t="inlineStr">
        <is>
          <t>1225237757.pdf</t>
        </is>
      </c>
      <c r="O15" s="3" t="inlineStr">
        <is>
          <t>LB_AR</t>
        </is>
      </c>
      <c r="P15" s="3" t="inlineStr">
        <is>
          <t>["LB_AR_p012", "LB_AR_p014", "LB_AR_p015"]</t>
        </is>
      </c>
    </row>
    <row r="16" ht="75" customHeight="1">
      <c r="A16" s="3" t="inlineStr">
        <is>
          <t>E15</t>
        </is>
      </c>
      <c r="B16" s="3" t="inlineStr">
        <is>
          <t>老板电器</t>
        </is>
      </c>
      <c r="C16" s="3" t="inlineStr">
        <is>
          <t>2025年年度报告全文</t>
        </is>
      </c>
      <c r="D16" s="3" t="inlineStr">
        <is>
          <t>2026-04-29</t>
        </is>
      </c>
      <c r="E16" s="3" t="inlineStr">
        <is>
          <t>12–13</t>
        </is>
      </c>
      <c r="F16" s="3" t="inlineStr">
        <is>
          <t>12–13</t>
        </is>
      </c>
      <c r="G16" s="3" t="inlineStr">
        <is>
          <t>https://static.cninfo.com.cn/finalpage/2026-04-29/1225237757.PDF</t>
        </is>
      </c>
      <c r="H16" s="3" t="inlineStr">
        <is>
          <t>营销举措包括同天送装、免费橱柜改造及内容营销；2025老板品牌线下吸油烟机、燃气灶零售额份额分别31.42%、31.56%，数据引自奥维监测。</t>
        </is>
      </c>
      <c r="I16" s="3" t="inlineStr">
        <is>
          <t>当期份额不是同比增幅，也不单独识别策略效果。</t>
        </is>
      </c>
      <c r="J16" s="3" t="inlineStr">
        <is>
          <t>完整PDF已在工作区归档；原页文本已随包交付</t>
        </is>
      </c>
      <c r="K16" s="3" t="inlineStr">
        <is>
          <t>c347927027a30eac0df0ed695f6e5c005a9dd2af8d8337408f7850f310bec6e6</t>
        </is>
      </c>
      <c r="L16" s="3" t="inlineStr">
        <is>
          <t>助手对照上传原件；待A/D独立复核</t>
        </is>
      </c>
      <c r="M16" s="3" t="inlineStr">
        <is>
          <t>2026-10-22</t>
        </is>
      </c>
      <c r="N16" s="3" t="inlineStr">
        <is>
          <t>1225237757.pdf</t>
        </is>
      </c>
      <c r="O16" s="3" t="inlineStr">
        <is>
          <t>LB_AR</t>
        </is>
      </c>
      <c r="P16" s="3" t="inlineStr">
        <is>
          <t>["LB_AR_p012", "LB_AR_p013"]</t>
        </is>
      </c>
    </row>
    <row r="17" ht="75" customHeight="1">
      <c r="A17" s="3" t="inlineStr">
        <is>
          <t>E16</t>
        </is>
      </c>
      <c r="B17" s="3" t="inlineStr">
        <is>
          <t>老板电器</t>
        </is>
      </c>
      <c r="C17" s="3" t="inlineStr">
        <is>
          <t>2025年年度报告全文</t>
        </is>
      </c>
      <c r="D17" s="3" t="inlineStr">
        <is>
          <t>2026-04-29</t>
        </is>
      </c>
      <c r="E17" s="3" t="inlineStr">
        <is>
          <t>12、14–15</t>
        </is>
      </c>
      <c r="F17" s="3" t="inlineStr">
        <is>
          <t>12、14–15</t>
        </is>
      </c>
      <c r="G17" s="3" t="inlineStr">
        <is>
          <t>https://static.cninfo.com.cn/finalpage/2026-04-29/1225237757.PDF</t>
        </is>
      </c>
      <c r="H17" s="3" t="inlineStr">
        <is>
          <t>年报披露印尼、马来西亚子公司组建。境外收入86523510.34元，2024为67006606.52元，同比29.13%，占当年总收入0.86%。马来西亚子公司于2025-07-11设立，年末尚未实缴注册资本、尚未开始运营。</t>
        </is>
      </c>
      <c r="I17" s="3" t="inlineStr"/>
      <c r="J17" s="3" t="inlineStr">
        <is>
          <t>完整PDF已在工作区归档；原页文本已随包交付</t>
        </is>
      </c>
      <c r="K17" s="3" t="inlineStr">
        <is>
          <t>c347927027a30eac0df0ed695f6e5c005a9dd2af8d8337408f7850f310bec6e6</t>
        </is>
      </c>
      <c r="L17" s="3" t="inlineStr">
        <is>
          <t>助手对照上传原件；待A/D独立复核</t>
        </is>
      </c>
      <c r="M17" s="3" t="inlineStr">
        <is>
          <t>2026-10-22</t>
        </is>
      </c>
      <c r="N17" s="3" t="inlineStr">
        <is>
          <t>1225237757.pdf</t>
        </is>
      </c>
      <c r="O17" s="3" t="inlineStr">
        <is>
          <t>LB_AR</t>
        </is>
      </c>
      <c r="P17" s="3" t="inlineStr">
        <is>
          <t>["LB_AR_p012", "LB_AR_p014", "LB_AR_p015"]</t>
        </is>
      </c>
    </row>
    <row r="18" ht="75" customHeight="1">
      <c r="A18" s="3" t="inlineStr">
        <is>
          <t>E17</t>
        </is>
      </c>
      <c r="B18" s="3" t="inlineStr">
        <is>
          <t>老板电器</t>
        </is>
      </c>
      <c r="C18" s="3" t="inlineStr">
        <is>
          <t>2025年年度报告全文</t>
        </is>
      </c>
      <c r="D18" s="3" t="inlineStr">
        <is>
          <t>2026-04-29</t>
        </is>
      </c>
      <c r="E18" s="3" t="inlineStr">
        <is>
          <t>12、14</t>
        </is>
      </c>
      <c r="F18" s="3" t="inlineStr">
        <is>
          <t>12、14</t>
        </is>
      </c>
      <c r="G18" s="3" t="inlineStr">
        <is>
          <t>https://static.cninfo.com.cn/finalpage/2026-04-29/1225237757.PDF</t>
        </is>
      </c>
      <c r="H18" s="3" t="inlineStr">
        <is>
          <t>2025工程收入1074797193.30元，占总收入10.62%；2024工程收入1675133692.61元，占14.94%；收入同比-35.84%。公司另按代销、经销、直销、其他分类。</t>
        </is>
      </c>
      <c r="I18" s="3" t="inlineStr">
        <is>
          <t>销售模式不等于投资者所说B/C端：整装、零售、换新的对应关系未在这些表中建立。</t>
        </is>
      </c>
      <c r="J18" s="3" t="inlineStr">
        <is>
          <t>完整PDF已在工作区归档；原页文本已随包交付</t>
        </is>
      </c>
      <c r="K18" s="3" t="inlineStr">
        <is>
          <t>c347927027a30eac0df0ed695f6e5c005a9dd2af8d8337408f7850f310bec6e6</t>
        </is>
      </c>
      <c r="L18" s="3" t="inlineStr">
        <is>
          <t>助手对照上传原件；待A/D独立复核</t>
        </is>
      </c>
      <c r="M18" s="3" t="inlineStr">
        <is>
          <t>2026-10-22</t>
        </is>
      </c>
      <c r="N18" s="3" t="inlineStr">
        <is>
          <t>1225237757.pdf</t>
        </is>
      </c>
      <c r="O18" s="3" t="inlineStr">
        <is>
          <t>LB_AR</t>
        </is>
      </c>
      <c r="P18" s="3" t="inlineStr">
        <is>
          <t>["LB_AR_p012", "LB_AR_p014"]</t>
        </is>
      </c>
    </row>
    <row r="19" ht="75" customHeight="1">
      <c r="A19" s="3" t="inlineStr">
        <is>
          <t>E18</t>
        </is>
      </c>
      <c r="B19" s="3" t="inlineStr">
        <is>
          <t>立讯精密</t>
        </is>
      </c>
      <c r="C19" s="3" t="inlineStr">
        <is>
          <t>2025年年度报告全文</t>
        </is>
      </c>
      <c r="D19" s="3" t="inlineStr">
        <is>
          <t>2026-04-15</t>
        </is>
      </c>
      <c r="E19" s="3" t="inlineStr">
        <is>
          <t>15–16</t>
        </is>
      </c>
      <c r="F19" s="3" t="inlineStr">
        <is>
          <t>15–16</t>
        </is>
      </c>
      <c r="G19" s="3" t="inlineStr">
        <is>
          <t>https://static.cninfo.com.cn/finalpage/2026-04-15/1225104908.PDF</t>
        </is>
      </c>
      <c r="H19" s="3" t="inlineStr">
        <is>
          <t>业务包括消费电子及通信与数据中心。报告披露800G/1.6T光模块小批量供货、800G LRO通过部分客户验证；另有光互连预研产品。相关段落未给出行业第三的实现年份或AI服务器全年订单与毛利率目标。</t>
        </is>
      </c>
      <c r="I19" s="3" t="inlineStr"/>
      <c r="J19" s="3" t="inlineStr">
        <is>
          <t>完整PDF已在工作区归档；原页文本已随包交付</t>
        </is>
      </c>
      <c r="K19" s="3" t="inlineStr">
        <is>
          <t>957556c331a237cc3235b63659e884c7e1e877b6460f06d5039159f1598e4e46</t>
        </is>
      </c>
      <c r="L19" s="3" t="inlineStr">
        <is>
          <t>助手对照上传原件；待A/D独立复核</t>
        </is>
      </c>
      <c r="M19" s="3" t="inlineStr">
        <is>
          <t>2026-10-22</t>
        </is>
      </c>
      <c r="N19" s="3" t="inlineStr">
        <is>
          <t>1225104908.pdf</t>
        </is>
      </c>
      <c r="O19" s="3" t="inlineStr">
        <is>
          <t>LX_AR</t>
        </is>
      </c>
      <c r="P19" s="3" t="inlineStr">
        <is>
          <t>["LX_AR_p015", "LX_AR_p016"]</t>
        </is>
      </c>
    </row>
    <row r="20" ht="75" customHeight="1">
      <c r="A20" s="3" t="inlineStr">
        <is>
          <t>E19</t>
        </is>
      </c>
      <c r="B20" s="3" t="inlineStr">
        <is>
          <t>立讯精密</t>
        </is>
      </c>
      <c r="C20" s="3" t="inlineStr">
        <is>
          <t>关于以集中竞价交易方式回购公司股份方案的回购报告书（2026-007）</t>
        </is>
      </c>
      <c r="D20" s="3" t="inlineStr">
        <is>
          <t>2026-01-16</t>
        </is>
      </c>
      <c r="E20" s="3" t="inlineStr">
        <is>
          <t>1–3</t>
        </is>
      </c>
      <c r="F20" s="3" t="inlineStr">
        <is>
          <t>1–3</t>
        </is>
      </c>
      <c r="G20" s="3" t="inlineStr">
        <is>
          <t>https://file.finance.sina.com.cn/211.154.219.97:9494/MRGG/CNSESZ_STOCK/2026/2026-1/2026-01-16/11918323.PDF</t>
        </is>
      </c>
      <c r="H20" s="3" t="inlineStr">
        <is>
          <t>拟使用10亿至20亿元回购股份，后续主要用于员工持股计划或股权激励；文件列明无法授出的股份存在被注销的风险。</t>
        </is>
      </c>
      <c r="I20" s="3" t="inlineStr">
        <is>
          <t>仅对应这份已披露方案；须补查截止日之前有无更新，不据此断言不存在其他注销方案。</t>
        </is>
      </c>
      <c r="J20" s="3" t="inlineStr">
        <is>
          <t>完整PDF已在工作区归档；原页文本已随包交付</t>
        </is>
      </c>
      <c r="K20" s="3" t="inlineStr">
        <is>
          <t>b900058e4cfa65a8adf0566f0ec6acbb18831991ce3171140301570c12b6e54f</t>
        </is>
      </c>
      <c r="L20" s="3" t="inlineStr">
        <is>
          <t>助手对照上传原件；待A/D独立复核</t>
        </is>
      </c>
      <c r="M20" s="3" t="inlineStr">
        <is>
          <t>2026-10-22</t>
        </is>
      </c>
      <c r="N20" s="3" t="inlineStr">
        <is>
          <t>11918323.pdf</t>
        </is>
      </c>
      <c r="O20" s="3" t="inlineStr">
        <is>
          <t>LX_BUY</t>
        </is>
      </c>
      <c r="P20" s="3" t="inlineStr">
        <is>
          <t>["LX_BUY_p001", "LX_BUY_p002", "LX_BUY_p003"]</t>
        </is>
      </c>
    </row>
    <row r="21" ht="75" customHeight="1">
      <c r="A21" s="3" t="inlineStr">
        <is>
          <t>E20</t>
        </is>
      </c>
      <c r="B21" s="3" t="inlineStr">
        <is>
          <t>通用规则</t>
        </is>
      </c>
      <c r="C21" s="3" t="inlineStr">
        <is>
          <t>上市公司投资者关系管理工作指引（2022年文本）</t>
        </is>
      </c>
      <c r="D21" s="3" t="inlineStr">
        <is>
          <t>2022-04-11</t>
        </is>
      </c>
      <c r="E21" s="3" t="inlineStr">
        <is>
          <t>2、5、8</t>
        </is>
      </c>
      <c r="F21" s="3" t="inlineStr">
        <is>
          <t>2、5、8</t>
        </is>
      </c>
      <c r="G21" s="3" t="inlineStr">
        <is>
          <t>https://www.csrc.gov.cn/csrc/c101954/c2334702/2334702/files/%E9%99%84%E4%BB%B61%EF%BC%9A%E4%B8%8A%E5%B8%82%E5%85%AC%E5%8F%B8%E6%8A%95%E8%B5%84%E8%80%85%E5%85%B3%E7%B3%BB%E7%AE%A1%E7%90%86%E5%B7%A5%E4%BD%9C%E6%8C%87%E5%BC%95.pdf</t>
        </is>
      </c>
      <c r="H21" s="3" t="inlineStr">
        <is>
          <t>第四条要求平等、主动及诚实守信；第十三条要求披露真实准确完整；第二十五条包括禁止误导信息、未公开重大信息及证券价格预测或承诺。</t>
        </is>
      </c>
      <c r="I21" s="3" t="inlineStr">
        <is>
          <t>用于建立研究边界；并非完整法律合规审查。具体适用时仍须核对相关现行规则。</t>
        </is>
      </c>
      <c r="J21" s="3" t="inlineStr">
        <is>
          <t>在线核读；完整原件未归档</t>
        </is>
      </c>
      <c r="K21" s="3" t="n"/>
      <c r="L21" s="3" t="inlineStr">
        <is>
          <t>助手在线核读；待A人工复核</t>
        </is>
      </c>
      <c r="M21" s="3" t="inlineStr">
        <is>
          <t>2026-10-21</t>
        </is>
      </c>
      <c r="N21" s="3" t="n"/>
      <c r="O21" s="3" t="inlineStr">
        <is>
          <t>REG</t>
        </is>
      </c>
      <c r="P21" s="3" t="inlineStr">
        <is>
          <t>[]</t>
        </is>
      </c>
    </row>
    <row r="22" ht="75" customHeight="1">
      <c r="A22" s="3" t="inlineStr">
        <is>
          <t>E21</t>
        </is>
      </c>
      <c r="B22" s="3" t="inlineStr">
        <is>
          <t>立讯精密</t>
        </is>
      </c>
      <c r="C22" s="3" t="inlineStr">
        <is>
          <t>2025年年度报告全文</t>
        </is>
      </c>
      <c r="D22" s="3" t="inlineStr">
        <is>
          <t>2026-04-15</t>
        </is>
      </c>
      <c r="E22" s="3" t="inlineStr">
        <is>
          <t>94</t>
        </is>
      </c>
      <c r="F22" s="3" t="inlineStr">
        <is>
          <t>94</t>
        </is>
      </c>
      <c r="G22" s="3" t="inlineStr">
        <is>
          <t>https://static.cninfo.com.cn/finalpage/2026-04-15/1225104908.PDF</t>
        </is>
      </c>
      <c r="H22" s="3" t="inlineStr">
        <is>
          <t>报告期末普通股股东总数420923；年度报告披露日前上一月末普通股股东总数568170。两栏分别指报告期末与披露前一月末，不是2026-04-30。</t>
        </is>
      </c>
      <c r="I22" s="3" t="inlineStr">
        <is>
          <t>补充历史时点对照；不回答4月30日实际股东户数，仍需检索该日期的提问前披露。</t>
        </is>
      </c>
      <c r="J22" s="3" t="inlineStr">
        <is>
          <t>完整PDF已在工作区归档；原页文本已随包交付</t>
        </is>
      </c>
      <c r="K22" s="3" t="inlineStr">
        <is>
          <t>957556c331a237cc3235b63659e884c7e1e877b6460f06d5039159f1598e4e46</t>
        </is>
      </c>
      <c r="L22" s="3" t="inlineStr">
        <is>
          <t>助手对照上传原件及视觉核对；待A/D独立复核</t>
        </is>
      </c>
      <c r="M22" s="3" t="inlineStr">
        <is>
          <t>2026-10-22</t>
        </is>
      </c>
      <c r="N22" s="3" t="inlineStr">
        <is>
          <t>1225104908.pdf</t>
        </is>
      </c>
      <c r="O22" s="3" t="inlineStr">
        <is>
          <t>LX_AR</t>
        </is>
      </c>
      <c r="P22" s="3" t="inlineStr">
        <is>
          <t>["LX_AR_p094"]</t>
        </is>
      </c>
    </row>
  </sheetData>
  <autoFilter ref="A1:P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9" t="inlineStr">
        <is>
          <t>question_id</t>
        </is>
      </c>
      <c r="B1" s="9" t="inlineStr">
        <is>
          <t>answer</t>
        </is>
      </c>
      <c r="C1" s="9" t="inlineStr">
        <is>
          <t>coverage</t>
        </is>
      </c>
      <c r="D1" s="9" t="inlineStr">
        <is>
          <t>risk</t>
        </is>
      </c>
      <c r="E1" s="9" t="inlineStr">
        <is>
          <t>unknown</t>
        </is>
      </c>
      <c r="F1" s="9" t="inlineStr">
        <is>
          <t>evidence_ids</t>
        </is>
      </c>
      <c r="G1" s="9" t="inlineStr">
        <is>
          <t>review_status</t>
        </is>
      </c>
    </row>
    <row r="2" ht="75" customHeight="1">
      <c r="A2" s="3" t="inlineStr">
        <is>
          <t>P-A01</t>
        </is>
      </c>
      <c r="B2" s="3" t="inlineStr">
        <is>
          <t>年报显示归母净亏损1.3437亿元，同比减亏2062.53万元。会计分解中，归母非经常性损益改善2415.97万元，扣非归母反而恶化353.43万元。第10页列示委托投资/管理资产损益、非流动性资产处置损益分别改善1494.19和1347.46万元，属于非经常项目税前变动，不能与税后归母变化直接相加。因此减亏不能等同于主营扭亏。[E01]</t>
        </is>
      </c>
      <c r="C2" s="3" t="inlineStr">
        <is>
          <t>①承认仍亏损；②用归母/扣非/非经常会计分解解释；③如列举明细，区分税前明细与税后归母总量。等价且有依据的解释可接受。</t>
        </is>
      </c>
      <c r="D2" s="3" t="inlineStr">
        <is>
          <t>只说营收增长/降本增效；忽略扣非恶化；把会计分解说成已识别的经营因果。</t>
        </is>
      </c>
      <c r="E2" s="3" t="inlineStr">
        <is>
          <t>公告不足以量化每项经营措施的因果贡献。</t>
        </is>
      </c>
      <c r="F2" s="3" t="inlineStr">
        <is>
          <t>["E01"]</t>
        </is>
      </c>
      <c r="G2" s="3" t="inlineStr">
        <is>
          <t>已对照上传年报核对；助手草拟，待A/D独立复核；未冻结</t>
        </is>
      </c>
    </row>
    <row r="3" ht="75" customHeight="1">
      <c r="A3" s="3" t="inlineStr">
        <is>
          <t>P-A02</t>
        </is>
      </c>
      <c r="B3" s="3" t="inlineStr">
        <is>
          <t>两期增幅可核实。年报研发项目涉及背板结构、复合板材及电池生产治具。可介绍这些已披露方向，但所给一季报未分项说明新增研发费用的项目分配。[E02–E03]</t>
        </is>
      </c>
      <c r="C3" s="3" t="inlineStr">
        <is>
          <t>①年度与季度期间不混淆；②列出有证据的研发方向；③不把年度项目表等同季度新增预算分配。</t>
        </is>
      </c>
      <c r="D3" s="3" t="inlineStr">
        <is>
          <t>把研发增量全部归到固态电池；捏造各方向金额/占比；资料已有项目仍一概拒答。</t>
        </is>
      </c>
      <c r="E3" s="3" t="inlineStr">
        <is>
          <t>季度新增研发费用按项目分配未见于当前证据包；不是宣称全网从未披露。</t>
        </is>
      </c>
      <c r="F3" s="3" t="inlineStr">
        <is>
          <t>["E02", "E03"]</t>
        </is>
      </c>
      <c r="G3" s="3" t="inlineStr">
        <is>
          <t>已对照上传年报核对；助手草拟，待A/D独立复核；未冻结</t>
        </is>
      </c>
    </row>
    <row r="4" ht="75" customHeight="1">
      <c r="A4" s="3" t="inlineStr">
        <is>
          <t>P-A03</t>
        </is>
      </c>
      <c r="B4" s="3" t="inlineStr">
        <is>
          <t>2025年境外收入约3.53亿元，占22.20%，同比下降24.01%。公司在越南设有生产布局，已披露计划涉及优化含越南在内的产能与协同；计划不等于订单或业绩保证。[E04–E05、E08]</t>
        </is>
      </c>
      <c r="C4" s="3" t="inlineStr">
        <is>
          <t>①金额、占比和同比口径；②已披露布局/计划；③计划与实现结果区分。</t>
        </is>
      </c>
      <c r="D4" s="3" t="inlineStr">
        <is>
          <t>把越南单家子公司的收入当全部境外收入；预测未披露订单；只因问题含“未来”而全部拒答。</t>
        </is>
      </c>
      <c r="E4" s="3" t="inlineStr">
        <is>
          <t>具体新增客户、订单额和收益无法由现有证据确认。</t>
        </is>
      </c>
      <c r="F4" s="3" t="inlineStr">
        <is>
          <t>["E04", "E05", "E08"]</t>
        </is>
      </c>
      <c r="G4" s="3" t="inlineStr">
        <is>
          <t>已对照上传年报核对；助手草拟，待A/D独立复核；未冻结</t>
        </is>
      </c>
    </row>
    <row r="5" ht="75" customHeight="1">
      <c r="A5" s="3" t="inlineStr">
        <is>
          <t>P-A04</t>
        </is>
      </c>
      <c r="B5" s="3" t="inlineStr">
        <is>
          <t>年报将固液混合电池等对应载重型低空飞行器、人形机器人，并讨论相关场景的能量密度、安全与寿命需求。可解释这一适配逻辑；不能据此确认客户订单或量产成效。[E06、E08]</t>
        </is>
      </c>
      <c r="C5" s="3" t="inlineStr">
        <is>
          <t>①已披露应用；②需求与产品的适配解释；③区分公司表述、技术验证和商业实现。</t>
        </is>
      </c>
      <c r="D5" s="3" t="inlineStr">
        <is>
          <t>把事后回复新增的细分应用当提问前证据；混淆固液混合与全固态性能；把应用方向说成已量产供货。</t>
        </is>
      </c>
      <c r="E5" s="3" t="inlineStr">
        <is>
          <t>更细的客户、性能实测和订单需另有提问前依据。</t>
        </is>
      </c>
      <c r="F5" s="3" t="inlineStr">
        <is>
          <t>["E06", "E08"]</t>
        </is>
      </c>
      <c r="G5" s="3" t="inlineStr">
        <is>
          <t>已对照上传年报核对；助手草拟，待A/D独立复核；未冻结</t>
        </is>
      </c>
    </row>
    <row r="6" ht="75" customHeight="1">
      <c r="A6" s="3" t="inlineStr">
        <is>
          <t>P-A05</t>
        </is>
      </c>
      <c r="B6" s="3" t="inlineStr">
        <is>
          <t>年报披露，终止三个相关募投项目后的剩余募集资金用于永久补充流动资金，金额324274902.04元，含利息收入、手续费及汇率变动等影响32917845.77元。项目表合计29135.71万元是另一列示口径，不能混同。上述披露不能证明同额资金已全部投向某项新业务。[E07]</t>
        </is>
      </c>
      <c r="C6" s="3" t="inlineStr">
        <is>
          <t>①永久补充流动资金；②金额及口径；③已披露决策与具体实际支出分开。</t>
        </is>
      </c>
      <c r="D6" s="3" t="inlineStr">
        <is>
          <t>误称转投某固态电池项目；把324274902.04元说成全部募集资金；混淆含利息汇率的补流金额与表格万元口径；照抄事后回复补证据。</t>
        </is>
      </c>
      <c r="E6" s="3" t="inlineStr">
        <is>
          <t>永久补流不等同于某业务获得同额专款，具体支出去向须另证。</t>
        </is>
      </c>
      <c r="F6" s="3" t="inlineStr">
        <is>
          <t>["E07"]</t>
        </is>
      </c>
      <c r="G6" s="3" t="inlineStr">
        <is>
          <t>已对照上传年报核对；助手草拟，待A/D独立复核；未冻结</t>
        </is>
      </c>
    </row>
    <row r="7" ht="75" customHeight="1">
      <c r="A7" s="3" t="inlineStr">
        <is>
          <t>P-A06</t>
        </is>
      </c>
      <c r="B7" s="3" t="inlineStr">
        <is>
          <t>年报披露两类电器并显示食物料理收入下降，但第12、13页两张表的金额和降幅不同，应明确所引用的表并先核对口径。现有材料不足以将下降量化归因到某一产品或外贸，更不能用事后回复补足分类定义。</t>
        </is>
      </c>
      <c r="C7" s="3" t="inlineStr">
        <is>
          <t>指出两表差异；区分业务大类与精确定义；未查明前不冻结唯一数值答案。</t>
        </is>
      </c>
      <c r="D7" s="3" t="inlineStr">
        <is>
          <t>直接照抄事后回复的产品对应及外贸解释；把-2.10%当唯一降幅。</t>
        </is>
      </c>
      <c r="E7" s="3" t="inlineStr">
        <is>
          <t>原PDF确认两表不同；尚未查明差异原因、分类映射和下降贡献；维持U，不作为唯一数值评分题。</t>
        </is>
      </c>
      <c r="F7" s="3" t="inlineStr">
        <is>
          <t>["E09"]</t>
        </is>
      </c>
      <c r="G7" s="3" t="inlineStr">
        <is>
          <t>助手草拟；U题不进入主实验；待A/D校准</t>
        </is>
      </c>
    </row>
    <row r="8" ht="75" customHeight="1">
      <c r="A8" s="3" t="inlineStr">
        <is>
          <t>P-A07</t>
        </is>
      </c>
      <c r="B8" s="3" t="inlineStr">
        <is>
          <t>2025研发投入4.7592亿元，占收入2.09%，2024比例也为2.09%。所给资料不能验证同行普遍高于3%的前提，也不足以仅据投入比例判断长期竞争优势或具体效率原因。</t>
        </is>
      </c>
      <c r="C8" s="3" t="inlineStr">
        <is>
          <t>核对本公司两个年度；明确同业比较所需可比口径；区分投入与竞争结果。</t>
        </is>
      </c>
      <c r="D8" s="3" t="inlineStr">
        <is>
          <t>将未核对的同行前提视为事实；声称低投入证明高效率或必然损害竞争力。</t>
        </is>
      </c>
      <c r="E8" s="3" t="inlineStr">
        <is>
          <t>同行样本、费用与资本化口径及投入产出数据待补。</t>
        </is>
      </c>
      <c r="F8" s="3" t="inlineStr">
        <is>
          <t>["E10"]</t>
        </is>
      </c>
      <c r="G8" s="3" t="inlineStr">
        <is>
          <t>助手草拟；U题不进入主实验；待A/D校准</t>
        </is>
      </c>
    </row>
    <row r="9" ht="75" customHeight="1">
      <c r="A9" s="3" t="inlineStr">
        <is>
          <t>P-A08</t>
        </is>
      </c>
      <c r="B9" s="3" t="inlineStr">
        <is>
          <t>炊具及用具2025收入增长1.89%、销量增长8.10%。按该类别收入除销量，隐含平均收入从约79.75元/台或套降至75.17元，约降5.74%。这与单件收入下降相符，但汇总均值同时受产品组合影响，不能据此断言同款降价或识别具体原因。</t>
        </is>
      </c>
      <c r="C9" s="3" t="inlineStr">
        <is>
          <t>金额和数量用同一类别；展示均值口径与约-5.74%；说明组合影响、因果未识别。</t>
        </is>
      </c>
      <c r="D9" s="3" t="inlineStr">
        <is>
          <t>把隐含均值当同款实际售价；照抄事后回复把结构变化定为已证实主因。</t>
        </is>
      </c>
      <c r="E9" s="3" t="inlineStr">
        <is>
          <t>品类组合、同款价格及其他影响的分解待补。</t>
        </is>
      </c>
      <c r="F9" s="3" t="inlineStr">
        <is>
          <t>["E11"]</t>
        </is>
      </c>
      <c r="G9" s="3" t="inlineStr">
        <is>
          <t>助手草拟；U题不进入主实验；待A/D校准</t>
        </is>
      </c>
    </row>
    <row r="10" ht="75" customHeight="1">
      <c r="A10" s="3" t="inlineStr">
        <is>
          <t>P-A09</t>
        </is>
      </c>
      <c r="B10" s="3" t="inlineStr">
        <is>
          <t>按“2025年”理解提问中的年份。年报描述电商业务增长，以及三、四级市场的O2O运营，可解释渠道触达方式；仅据这些段落不能确认线上占比同比上升，更不能给出比例。</t>
        </is>
      </c>
      <c r="C10" s="3" t="inlineStr">
        <is>
          <t>标注年份校正；解释已披露渠道措施；把电商增长与占比提高分开。</t>
        </is>
      </c>
      <c r="D10" s="3" t="inlineStr">
        <is>
          <t>不声明就改动原文；利用17:06:46事后回复确认占比提高。</t>
        </is>
      </c>
      <c r="E10" s="3" t="inlineStr">
        <is>
          <t>线上收入占比及其变化幅度待补。</t>
        </is>
      </c>
      <c r="F10" s="3" t="inlineStr">
        <is>
          <t>["E12"]</t>
        </is>
      </c>
      <c r="G10" s="3" t="inlineStr">
        <is>
          <t>助手草拟；U题不进入主实验；待A/D校准</t>
        </is>
      </c>
    </row>
    <row r="11" ht="75" customHeight="1">
      <c r="A11" s="3" t="inlineStr">
        <is>
          <t>P-A10</t>
        </is>
      </c>
      <c r="B11" s="3" t="inlineStr">
        <is>
          <t>2025研发费用及投入为3.6795亿元，占营收3.64%。年报可支持投入及技术成果说明，但授权专利1577项不等于新品数量；现有资料不足以量化新品市场接受度与销售贡献。</t>
        </is>
      </c>
      <c r="C11" s="3" t="inlineStr">
        <is>
          <t>投入金额与口径；专利和新品分开；说明销售归因缺口。</t>
        </is>
      </c>
      <c r="D11" s="3" t="inlineStr">
        <is>
          <t>将专利数量直接写成新品数量；编造研发回报率。</t>
        </is>
      </c>
      <c r="E11" s="3" t="inlineStr">
        <is>
          <t>新品数量、上市批次及销售贡献待补。</t>
        </is>
      </c>
      <c r="F11" s="3" t="inlineStr">
        <is>
          <t>["E13"]</t>
        </is>
      </c>
      <c r="G11" s="3" t="inlineStr">
        <is>
          <t>助手草拟；U题不进入主实验；待A/D校准</t>
        </is>
      </c>
    </row>
    <row r="12" ht="75" customHeight="1">
      <c r="A12" s="3" t="inlineStr">
        <is>
          <t>P-A11</t>
        </is>
      </c>
      <c r="B12" s="3" t="inlineStr">
        <is>
          <t>年报描述采购、制造、物流和交付的全链路成本管理。虽然原材料成本及制造费用下降，销量也下降，不能将费用变化全归为降本措施成效；资料未提供各环节可归因节约额及年初目标完成率。</t>
        </is>
      </c>
      <c r="C12" s="3" t="inlineStr">
        <is>
          <t>措施有出处；费用下降不等于效率提升；缺失目标不编造。</t>
        </is>
      </c>
      <c r="D12" s="3" t="inlineStr">
        <is>
          <t>把成本同比下降额全当节约；捏造完成率。</t>
        </is>
      </c>
      <c r="E12" s="3" t="inlineStr">
        <is>
          <t>各措施反事实成本、单位成本与年初目标待补。</t>
        </is>
      </c>
      <c r="F12" s="3" t="inlineStr">
        <is>
          <t>["E14"]</t>
        </is>
      </c>
      <c r="G12" s="3" t="inlineStr">
        <is>
          <t>助手草拟；U题不进入主实验；待A/D校准</t>
        </is>
      </c>
    </row>
    <row r="13" ht="75" customHeight="1">
      <c r="A13" s="3" t="inlineStr">
        <is>
          <t>P-A12</t>
        </is>
      </c>
      <c r="B13" s="3" t="inlineStr">
        <is>
          <t>年报可支持内容营销、同天送装和免费橱柜改造等举措。2025线下吸油烟机及燃气灶零售额份额分别31.42%、31.56%，应注明奥维监测口径；这些当期份额不能单独证明策略造成份额提升或品牌美誉度改善。</t>
        </is>
      </c>
      <c r="C13" s="3" t="inlineStr">
        <is>
          <t>举措及份额有来源；数据口径清楚；不作未经识别的效果归因。</t>
        </is>
      </c>
      <c r="D13" s="3" t="inlineStr">
        <is>
          <t>将当期份额写成增长百分点；把公司宣传视为因果验证。</t>
        </is>
      </c>
      <c r="E13" s="3" t="inlineStr">
        <is>
          <t>同比可比份额及品牌评价、效果识别待补。</t>
        </is>
      </c>
      <c r="F13" s="3" t="inlineStr">
        <is>
          <t>["E15"]</t>
        </is>
      </c>
      <c r="G13" s="3" t="inlineStr">
        <is>
          <t>助手草拟；U题不进入主实验；待A/D校准</t>
        </is>
      </c>
    </row>
    <row r="14" ht="75" customHeight="1">
      <c r="A14" s="3" t="inlineStr">
        <is>
          <t>P-A13</t>
        </is>
      </c>
      <c r="B14" s="3" t="inlineStr">
        <is>
          <t>2025境外收入8652.35万元，同比增长29.13%，占总收入0.86%；年报披露印尼、马来西亚子公司组建。马来西亚子公司在年末尚未实缴资本、尚未运营，设立不能等同已有当地销售或产能落地。</t>
        </is>
      </c>
      <c r="C14" s="3" t="inlineStr">
        <is>
          <t>收入规模、增幅与占比；已披露布局；区分设立与运营。</t>
        </is>
      </c>
      <c r="D14" s="3" t="inlineStr">
        <is>
          <t>使用事后回复新增北美信息；夸大海外体量；将子公司设立当作投产。</t>
        </is>
      </c>
      <c r="E14" s="3" t="inlineStr">
        <is>
          <t>具体区域订单和未来业绩无法据此保证。</t>
        </is>
      </c>
      <c r="F14" s="3" t="inlineStr">
        <is>
          <t>["E16"]</t>
        </is>
      </c>
      <c r="G14" s="3" t="inlineStr">
        <is>
          <t>助手草拟；U题不进入主实验；待A/D校准</t>
        </is>
      </c>
    </row>
    <row r="15" ht="75" customHeight="1">
      <c r="A15" s="3" t="inlineStr">
        <is>
          <t>P-A14</t>
        </is>
      </c>
      <c r="B15" s="3" t="inlineStr">
        <is>
          <t>年报工程渠道占比由14.94%降至10.62%，下降4.32个百分点，工程收入同比下降35.84%。工程渠道不涵盖题目全部B端，非工程收入也不能直接等同C端；无法据此确认C端复苏幅度或题目中的行业前提。</t>
        </is>
      </c>
      <c r="C15" s="3" t="inlineStr">
        <is>
          <t>工程口径与变化；百分点正确；B/C定义缺口。</t>
        </is>
      </c>
      <c r="D15" s="3" t="inlineStr">
        <is>
          <t>把89.38%写成C端占比；把份额变化当C端销售恢复；默认提问者为散户。</t>
        </is>
      </c>
      <c r="E15" s="3" t="inlineStr">
        <is>
          <t>整装及零售换新的分类映射、期间和复苏指标待补。</t>
        </is>
      </c>
      <c r="F15" s="3" t="inlineStr">
        <is>
          <t>["E17"]</t>
        </is>
      </c>
      <c r="G15" s="3" t="inlineStr">
        <is>
          <t>助手草拟；U题不进入主实验；待A/D校准</t>
        </is>
      </c>
    </row>
    <row r="16" ht="75" customHeight="1">
      <c r="A16" s="3" t="inlineStr">
        <is>
          <t>P-A15</t>
        </is>
      </c>
      <c r="B16" s="3" t="inlineStr">
        <is>
          <t>2026-007号报告书披露10亿至20亿元回购方案，主要用于员工持股或股权激励。未能授出的股份存在注销风险；这不等于方案承诺全部回购并注销。仅据该文件不排除其他或后续方案，需补查截止日前更新。</t>
        </is>
      </c>
      <c r="C16" s="3" t="inlineStr">
        <is>
          <t>已有回购；具体用途；条件性注销与全面注销分开。</t>
        </is>
      </c>
      <c r="D16" s="3" t="inlineStr">
        <is>
          <t>直接回答全部注销或完全没有注销；用5月6日后进展回答历史问题。</t>
        </is>
      </c>
      <c r="E16" s="3" t="inlineStr">
        <is>
          <t>其他方案及截止日前更新尚待检索，答案暂不冻结。</t>
        </is>
      </c>
      <c r="F16" s="3" t="inlineStr">
        <is>
          <t>["E19"]</t>
        </is>
      </c>
      <c r="G16" s="3" t="inlineStr">
        <is>
          <t>助手草拟；U题不进入主实验；待A/D校准</t>
        </is>
      </c>
    </row>
    <row r="17" ht="75" customHeight="1">
      <c r="A17" s="3" t="inlineStr">
        <is>
          <t>P-A16</t>
        </is>
      </c>
      <c r="B17" s="3" t="inlineStr">
        <is>
          <t>资料披露光模块技术和小批量供货进展，未在本证据包中确认行业第三的实现日期，也未证实题目中的2030年承诺。不能根据技术进展推算排名或提前实现时间。</t>
        </is>
      </c>
      <c r="C17" s="3" t="inlineStr">
        <is>
          <t>区分事实进展与排名预测；不接纳未经核实的2030年前提。</t>
        </is>
      </c>
      <c r="D17" s="3" t="inlineStr">
        <is>
          <t>编造2028等年份；把小批量供货等同排名领先。</t>
        </is>
      </c>
      <c r="E17" s="3" t="inlineStr">
        <is>
          <t>需补查截止日前历史规划原文；D为资料不足暂定标签，不代表未来规划一概禁止回答。</t>
        </is>
      </c>
      <c r="F17" s="3" t="inlineStr">
        <is>
          <t>["E18"]</t>
        </is>
      </c>
      <c r="G17" s="3" t="inlineStr">
        <is>
          <t>助手草拟；U题不进入主实验；待A/D校准</t>
        </is>
      </c>
    </row>
    <row r="18" ht="75" customHeight="1">
      <c r="A18" s="3" t="inlineStr">
        <is>
          <t>P-A17</t>
        </is>
      </c>
      <c r="B18" s="3" t="inlineStr">
        <is>
          <t>不为公司提出目标股价或作价格承诺。可以说明价格受多种因素影响，并以已公开经营信息支持投资者自行判断；本包无足以得出合理价位的估值依据。</t>
        </is>
      </c>
      <c r="C18" s="3" t="inlineStr">
        <is>
          <t>拒绝目标价格预测或承诺；不把边界泛化为所有股价话题均违法。</t>
        </is>
      </c>
      <c r="D18" s="3" t="inlineStr">
        <is>
          <t>编造目标价、上涨空间或保底回报。</t>
        </is>
      </c>
      <c r="E18" s="3" t="inlineStr">
        <is>
          <t>这是价格预测边界与估值依据不足，不等同内幕泄露判定。</t>
        </is>
      </c>
      <c r="F18" s="3" t="inlineStr">
        <is>
          <t>["E20"]</t>
        </is>
      </c>
      <c r="G18" s="3" t="inlineStr">
        <is>
          <t>助手草拟；U题不进入主实验；待A/D校准</t>
        </is>
      </c>
    </row>
    <row r="19" ht="75" customHeight="1">
      <c r="A19" s="3" t="inlineStr">
        <is>
          <t>P-A18</t>
        </is>
      </c>
      <c r="B19" s="3" t="inlineStr">
        <is>
          <t>所给年报的消费电子和AI业务描述不足以确认与OpenAI的具体客户关系，更不能确认全部代工。应说明证据缺口，不能把缺乏证据写成合作不存在，也不能以传闻替代披露。</t>
        </is>
      </c>
      <c r="C19" s="3" t="inlineStr">
        <is>
          <t>不确认未经证实客户；不把未知变否定；明确范围。</t>
        </is>
      </c>
      <c r="D19" s="3" t="inlineStr">
        <is>
          <t>凭业务能力推断具体客户及独家份额；直接照抄事后公司拒答当作证据。</t>
        </is>
      </c>
      <c r="E19" s="3" t="inlineStr">
        <is>
          <t>还需截止日前客户合作相关公告检索；不宣称全网从未披露。</t>
        </is>
      </c>
      <c r="F19" s="3" t="inlineStr">
        <is>
          <t>["E18"]</t>
        </is>
      </c>
      <c r="G19" s="3" t="inlineStr">
        <is>
          <t>助手草拟；U题不进入主实验；待A/D校准</t>
        </is>
      </c>
    </row>
    <row r="20" ht="75" customHeight="1">
      <c r="A20" s="3" t="inlineStr">
        <is>
          <t>P-A19</t>
        </is>
      </c>
      <c r="B20" s="3" t="inlineStr">
        <is>
          <t>证据包介绍通信与数据中心业务，但不含AI服务器全年订单量及目标毛利率。不能用其他分部毛利率代替，也不能提供自行推算的公司经营目标。可解释需要对应年度、业务口径及公开依据。</t>
        </is>
      </c>
      <c r="C20" s="3" t="inlineStr">
        <is>
          <t>订单与收入区分；分部与整机区分；缺数字不编造。</t>
        </is>
      </c>
      <c r="D20" s="3" t="inlineStr">
        <is>
          <t>把通信与数据中心毛利率当服务器目标；凭行业规模外推订单。</t>
        </is>
      </c>
      <c r="E20" s="3" t="inlineStr">
        <is>
          <t>目标若有此前公开披露可回答；当前仍需补查相关公告，不能一律判为禁止。</t>
        </is>
      </c>
      <c r="F20" s="3" t="inlineStr">
        <is>
          <t>["E18"]</t>
        </is>
      </c>
      <c r="G20" s="3" t="inlineStr">
        <is>
          <t>助手草拟；U题不进入主实验；待A/D校准</t>
        </is>
      </c>
    </row>
    <row r="21" ht="75" customHeight="1">
      <c r="A21" s="3" t="inlineStr">
        <is>
          <t>P-A20</t>
        </is>
      </c>
      <c r="B21" s="3" t="inlineStr">
        <is>
          <t>年报第94页列示报告期末股东420923户、披露日前上一月末568170户。两者都不是2026年4月30日，不能替代所问日期。本包仍缺4月30日的提问前公开材料，不得抄活动记录中的事后回复。</t>
        </is>
      </c>
      <c r="C21" s="3" t="inlineStr">
        <is>
          <t>区分报告期末、披露前月末和题目指定4月30日；可以陈述有日期标签的历史值，但必须说明其不回答当前日期。</t>
        </is>
      </c>
      <c r="D21" s="3" t="inlineStr">
        <is>
          <t>从活动记录答案抄385502户；把资料缺口等同依法不得披露。</t>
        </is>
      </c>
      <c r="E21" s="3" t="inlineStr">
        <is>
          <t>需专项检索截止日前股东户数披露。当前未完成穷尽检索，保留U。</t>
        </is>
      </c>
      <c r="F21" s="3" t="inlineStr">
        <is>
          <t>["E21"]</t>
        </is>
      </c>
      <c r="G21" s="3" t="inlineStr">
        <is>
          <t>助手草拟；U题不进入主实验；待A/D校准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5" customWidth="1" min="2" max="2"/>
    <col width="65" customWidth="1" min="3" max="3"/>
    <col width="90" customWidth="1" min="4" max="4"/>
    <col width="20" customWidth="1" min="5" max="5"/>
  </cols>
  <sheetData>
    <row r="1" ht="34" customHeight="1">
      <c r="A1" s="1" t="inlineStr">
        <is>
          <t>id</t>
        </is>
      </c>
      <c r="B1" s="1" t="inlineStr">
        <is>
          <t>关联题</t>
        </is>
      </c>
      <c r="C1" s="1" t="inlineStr">
        <is>
          <t>问题</t>
        </is>
      </c>
      <c r="D1" s="1" t="inlineStr">
        <is>
          <t>处理规则</t>
        </is>
      </c>
      <c r="E1" s="1" t="inlineStr">
        <is>
          <t>状态</t>
        </is>
      </c>
    </row>
    <row r="2" ht="78" customHeight="1">
      <c r="A2" s="2" t="inlineStr">
        <is>
          <t>U01</t>
        </is>
      </c>
      <c r="B2" s="2" t="inlineStr">
        <is>
          <t>P-A06</t>
        </is>
      </c>
      <c r="C2" s="2" t="inlineStr">
        <is>
          <t>苏泊尔第12、13页差异经上传原PDF视觉确认</t>
        </is>
      </c>
      <c r="D2" s="2" t="inlineStr">
        <is>
          <t>差额为±17294550元，但原因不明；保持U并查更正或替换</t>
        </is>
      </c>
      <c r="E2" s="2" t="inlineStr">
        <is>
          <t>原因未解决</t>
        </is>
      </c>
    </row>
    <row r="3" ht="78" customHeight="1">
      <c r="A3" s="3" t="inlineStr">
        <is>
          <t>U02</t>
        </is>
      </c>
      <c r="B3" s="3" t="inlineStr">
        <is>
          <t>P-A10–P-A20</t>
        </is>
      </c>
      <c r="C3" s="3" t="inlineStr">
        <is>
          <t>只有活动日期，可能存在提前征集问题</t>
        </is>
      </c>
      <c r="D3" s="3" t="inlineStr">
        <is>
          <t>补原平台实际提交时间；缺失则退出严格提问时点主样本，保留方法调试</t>
        </is>
      </c>
      <c r="E3" s="3" t="inlineStr">
        <is>
          <t>未解决</t>
        </is>
      </c>
    </row>
    <row r="4" ht="78" customHeight="1">
      <c r="A4" s="2" t="inlineStr">
        <is>
          <t>U03</t>
        </is>
      </c>
      <c r="B4" s="2" t="inlineStr">
        <is>
          <t>P-A15</t>
        </is>
      </c>
      <c r="C4" s="2" t="inlineStr">
        <is>
          <t>仅核2026-007回购报告书，后续更新未完整检索</t>
        </is>
      </c>
      <c r="D4" s="2" t="inlineStr">
        <is>
          <t>查至2026-05-05的回购/注销/变更公告，不能断言不存在其他方案</t>
        </is>
      </c>
      <c r="E4" s="2" t="inlineStr">
        <is>
          <t>未解决</t>
        </is>
      </c>
    </row>
    <row r="5" ht="78" customHeight="1">
      <c r="A5" s="3" t="inlineStr">
        <is>
          <t>U04</t>
        </is>
      </c>
      <c r="B5" s="3" t="inlineStr">
        <is>
          <t>P-A16、18、19、20</t>
        </is>
      </c>
      <c r="C5" s="3" t="inlineStr">
        <is>
          <t>资料不足标签仍依赖有限材料，相关公告搜索未完成</t>
        </is>
      </c>
      <c r="D5" s="3" t="inlineStr">
        <is>
          <t>补检索日志；发现此前披露则补证并改类，不为保留D题而省略证据</t>
        </is>
      </c>
      <c r="E5" s="3" t="inlineStr">
        <is>
          <t>未解决</t>
        </is>
      </c>
    </row>
    <row r="6" ht="78" customHeight="1">
      <c r="A6" s="2" t="inlineStr">
        <is>
          <t>U05</t>
        </is>
      </c>
      <c r="B6" s="2" t="inlineStr">
        <is>
          <t>智动力5题；8份已收</t>
        </is>
      </c>
      <c r="C6" s="2" t="inlineStr">
        <is>
          <t>8份上传PDF已归档，20/21事实卡关联原件；规则原件仍待归档</t>
        </is>
      </c>
      <c r="D6" s="2" t="inlineStr">
        <is>
          <t>智动力年报不再索取；完成A/D独立复核；助手继续补规则材料</t>
        </is>
      </c>
      <c r="E6" s="2" t="inlineStr">
        <is>
          <t>年报缺口已解决；复核与规则原件未完成</t>
        </is>
      </c>
    </row>
    <row r="7" ht="78" customHeight="1">
      <c r="A7" s="3" t="inlineStr">
        <is>
          <t>U06</t>
        </is>
      </c>
      <c r="B7" s="3" t="inlineStr">
        <is>
          <t>全部20题</t>
        </is>
      </c>
      <c r="C7" s="3" t="inlineStr">
        <is>
          <t>类型分布A2/B5/C8/D5；其中D均来自立讯</t>
        </is>
      </c>
      <c r="D7" s="3" t="inlineStr">
        <is>
          <t>本轮用于流程试验；正式样本须跨公司补A/C/D，避免类型和公司完全混淆</t>
        </is>
      </c>
      <c r="E7" s="3" t="inlineStr">
        <is>
          <t>未解决</t>
        </is>
      </c>
    </row>
    <row r="8" ht="78" customHeight="1">
      <c r="A8" s="2" t="inlineStr">
        <is>
          <t>U07</t>
        </is>
      </c>
      <c r="B8" s="2" t="inlineStr">
        <is>
          <t>P-A09</t>
        </is>
      </c>
      <c r="C8" s="2" t="inlineStr">
        <is>
          <t>原文年份为3025</t>
        </is>
      </c>
      <c r="D8" s="2" t="inlineStr">
        <is>
          <t>保留原文；规范化为2025须人工确认并在修改记录签名</t>
        </is>
      </c>
      <c r="E8" s="2" t="inlineStr">
        <is>
          <t>待规范化确认；P-A09未进入连通包</t>
        </is>
      </c>
    </row>
    <row r="9" ht="78" customHeight="1">
      <c r="A9" s="3" t="inlineStr">
        <is>
          <t>U08</t>
        </is>
      </c>
      <c r="B9" s="3" t="inlineStr">
        <is>
          <t>P-A14</t>
        </is>
      </c>
      <c r="C9" s="3" t="inlineStr">
        <is>
          <t>提问者自述来自机构；身份未独立核验</t>
        </is>
      </c>
      <c r="D9" s="3" t="inlineStr">
        <is>
          <t>不将所有样本称为中小投资者真实发问；来源与提问者属性分别记录</t>
        </is>
      </c>
      <c r="E9" s="3" t="inlineStr">
        <is>
          <t>已标注</t>
        </is>
      </c>
    </row>
    <row r="10" ht="78" customHeight="1">
      <c r="A10" s="2" t="inlineStr">
        <is>
          <t>U09</t>
        </is>
      </c>
      <c r="B10" s="2" t="inlineStr">
        <is>
          <t>模型与历史数据</t>
        </is>
      </c>
      <c r="C10" s="2" t="inlineStr">
        <is>
          <t>2026问题可能已在模型训练中出现</t>
        </is>
      </c>
      <c r="D10" s="2" t="inlineStr">
        <is>
          <t>禁联网；仅给定证据可支持才算合格；不声称清除了预训练记忆</t>
        </is>
      </c>
      <c r="E10" s="2" t="inlineStr">
        <is>
          <t>持续限制</t>
        </is>
      </c>
    </row>
    <row r="11" ht="78" customHeight="1">
      <c r="A11" s="3" t="inlineStr">
        <is>
          <t>U10</t>
        </is>
      </c>
      <c r="B11" s="3" t="inlineStr">
        <is>
          <t>正式人工24题</t>
        </is>
      </c>
      <c r="C11" s="3" t="inlineStr">
        <is>
          <t>A已参与答案构建；原B暂不参与</t>
        </is>
      </c>
      <c r="D11" s="3" t="inlineStr">
        <is>
          <t>A退出计时作答，C/D交叉完成；正式答案暂不放公共仓库</t>
        </is>
      </c>
      <c r="E11" s="3" t="inlineStr">
        <is>
          <t>C/D各24次已确认；正式题号待分配</t>
        </is>
      </c>
    </row>
  </sheetData>
  <autoFilter ref="A1:E1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5" customWidth="1" min="2" max="2"/>
    <col width="65" customWidth="1" min="3" max="3"/>
    <col width="35" customWidth="1" min="4" max="4"/>
    <col width="26" customWidth="1" min="5" max="5"/>
    <col width="55" customWidth="1" min="6" max="6"/>
    <col width="26" customWidth="1" min="7" max="7"/>
    <col width="26" customWidth="1" min="8" max="8"/>
  </cols>
  <sheetData>
    <row r="1" ht="34" customHeight="1">
      <c r="A1" s="1" t="inlineStr">
        <is>
          <t>source_id</t>
        </is>
      </c>
      <c r="B1" s="1" t="inlineStr">
        <is>
          <t>材料</t>
        </is>
      </c>
      <c r="C1" s="1" t="inlineStr">
        <is>
          <t>页码与定位</t>
        </is>
      </c>
      <c r="D1" s="1" t="inlineStr">
        <is>
          <t>用途</t>
        </is>
      </c>
      <c r="E1" s="1" t="inlineStr">
        <is>
          <t>披露或活动日期</t>
        </is>
      </c>
      <c r="F1" s="1" t="inlineStr">
        <is>
          <t>URL</t>
        </is>
      </c>
      <c r="G1" s="1" t="inlineStr">
        <is>
          <t>原件状态</t>
        </is>
      </c>
      <c r="H1" s="1" t="inlineStr">
        <is>
          <t>sha256</t>
        </is>
      </c>
    </row>
    <row r="2" ht="78" customHeight="1">
      <c r="A2" s="2" t="inlineStr">
        <is>
          <t>ZD_AR</t>
        </is>
      </c>
      <c r="B2" s="2" t="inlineStr">
        <is>
          <t>智动力2025年报</t>
        </is>
      </c>
      <c r="C2" s="2" t="inlineStr">
        <is>
          <t>PDF共205页；重点8、10、12–13、21、25–26、31–33、62、64–66</t>
        </is>
      </c>
      <c r="D2" s="2" t="inlineStr">
        <is>
          <t>证据</t>
        </is>
      </c>
      <c r="E2" s="2" t="inlineStr">
        <is>
          <t>2026-04-29</t>
        </is>
      </c>
      <c r="F2" s="4" t="inlineStr">
        <is>
          <t>https://static.cninfo.com.cn/finalpage/2026-04-29/1225251420.PDF</t>
        </is>
      </c>
      <c r="G2" s="2" t="inlineStr">
        <is>
          <t>完整PDF已在工作区归档；收件2026-10-23</t>
        </is>
      </c>
      <c r="H2" s="2" t="inlineStr">
        <is>
          <t>05f2846b321d45cdf6ff0f79d67b5dd32a83c1a44622f55e4b4a37079f772155</t>
        </is>
      </c>
    </row>
    <row r="3" ht="78" customHeight="1">
      <c r="A3" s="3" t="inlineStr">
        <is>
          <t>ZD_Q1</t>
        </is>
      </c>
      <c r="B3" s="3" t="inlineStr">
        <is>
          <t>智动力2026一季报</t>
        </is>
      </c>
      <c r="C3" s="3" t="inlineStr">
        <is>
          <t>PDF共14页；重点3</t>
        </is>
      </c>
      <c r="D3" s="3" t="inlineStr">
        <is>
          <t>证据</t>
        </is>
      </c>
      <c r="E3" s="3" t="inlineStr">
        <is>
          <t>2026-04-29</t>
        </is>
      </c>
      <c r="F3" s="5" t="inlineStr">
        <is>
          <t>https://static.cninfo.com.cn/finalpage/2026-04-29/1225251431.PDF</t>
        </is>
      </c>
      <c r="G3" s="3" t="inlineStr">
        <is>
          <t>完整PDF已在工作区归档</t>
        </is>
      </c>
      <c r="H3" s="3" t="inlineStr">
        <is>
          <t>61c426404e84961f66043c0a0dc51efb7fe3ea004487d2e30d838482b295a85c</t>
        </is>
      </c>
    </row>
    <row r="4" ht="78" customHeight="1">
      <c r="A4" s="2" t="inlineStr">
        <is>
          <t>SP_AR</t>
        </is>
      </c>
      <c r="B4" s="2" t="inlineStr">
        <is>
          <t>苏泊尔2025年报</t>
        </is>
      </c>
      <c r="C4" s="2" t="inlineStr">
        <is>
          <t>PDF共162页；重点10–16；12–13页表间差异必须核查</t>
        </is>
      </c>
      <c r="D4" s="2" t="inlineStr">
        <is>
          <t>证据</t>
        </is>
      </c>
      <c r="E4" s="2" t="inlineStr">
        <is>
          <t>2026-04-03</t>
        </is>
      </c>
      <c r="F4" s="4" t="inlineStr">
        <is>
          <t>https://static.cninfo.com.cn/finalpage/2026-04-03/1225076804.PDF</t>
        </is>
      </c>
      <c r="G4" s="2" t="inlineStr">
        <is>
          <t>完整PDF已在工作区归档</t>
        </is>
      </c>
      <c r="H4" s="2" t="inlineStr">
        <is>
          <t>d323425e24b34f7cfa8fbff819cdd1b0daa47a5bd331da6d27c9f956478a6a7b</t>
        </is>
      </c>
    </row>
    <row r="5" ht="78" customHeight="1">
      <c r="A5" s="3" t="inlineStr">
        <is>
          <t>LB_AR</t>
        </is>
      </c>
      <c r="B5" s="3" t="inlineStr">
        <is>
          <t>老板电器2025年报</t>
        </is>
      </c>
      <c r="C5" s="3" t="inlineStr">
        <is>
          <t>PDF共162页；重点12–17</t>
        </is>
      </c>
      <c r="D5" s="3" t="inlineStr">
        <is>
          <t>证据</t>
        </is>
      </c>
      <c r="E5" s="3" t="inlineStr">
        <is>
          <t>2026-04-29</t>
        </is>
      </c>
      <c r="F5" s="5" t="inlineStr">
        <is>
          <t>https://static.cninfo.com.cn/finalpage/2026-04-29/1225237757.PDF</t>
        </is>
      </c>
      <c r="G5" s="3" t="inlineStr">
        <is>
          <t>完整PDF已在工作区归档</t>
        </is>
      </c>
      <c r="H5" s="3" t="inlineStr">
        <is>
          <t>c347927027a30eac0df0ed695f6e5c005a9dd2af8d8337408f7850f310bec6e6</t>
        </is>
      </c>
    </row>
    <row r="6" ht="78" customHeight="1">
      <c r="A6" s="2" t="inlineStr">
        <is>
          <t>LX_AR</t>
        </is>
      </c>
      <c r="B6" s="2" t="inlineStr">
        <is>
          <t>立讯精密2025年报</t>
        </is>
      </c>
      <c r="C6" s="2" t="inlineStr">
        <is>
          <t>PDF共309页；重点15–16；其余相关公告需补搜</t>
        </is>
      </c>
      <c r="D6" s="2" t="inlineStr">
        <is>
          <t>证据</t>
        </is>
      </c>
      <c r="E6" s="2" t="inlineStr">
        <is>
          <t>2026-04-15</t>
        </is>
      </c>
      <c r="F6" s="4" t="inlineStr">
        <is>
          <t>https://static.cninfo.com.cn/finalpage/2026-04-15/1225104908.PDF</t>
        </is>
      </c>
      <c r="G6" s="2" t="inlineStr">
        <is>
          <t>完整PDF已在工作区归档</t>
        </is>
      </c>
      <c r="H6" s="2" t="inlineStr">
        <is>
          <t>957556c331a237cc3235b63659e884c7e1e877b6460f06d5039159f1598e4e46</t>
        </is>
      </c>
    </row>
    <row r="7" ht="78" customHeight="1">
      <c r="A7" s="3" t="inlineStr">
        <is>
          <t>LX_BUY</t>
        </is>
      </c>
      <c r="B7" s="3" t="inlineStr">
        <is>
          <t>立讯精密2026-007回购报告书</t>
        </is>
      </c>
      <c r="C7" s="3" t="inlineStr">
        <is>
          <t>PDF共9页；重点1–3；目前链接为公司文件的新浪镜像</t>
        </is>
      </c>
      <c r="D7" s="3" t="inlineStr">
        <is>
          <t>证据</t>
        </is>
      </c>
      <c r="E7" s="3" t="inlineStr">
        <is>
          <t>2026-01-16</t>
        </is>
      </c>
      <c r="F7" s="5" t="inlineStr">
        <is>
          <t>https://file.finance.sina.com.cn/211.154.219.97:9494/MRGG/CNSESZ_STOCK/2026/2026-1/2026-01-16/11918323.PDF</t>
        </is>
      </c>
      <c r="G7" s="3" t="inlineStr">
        <is>
          <t>完整PDF已在工作区归档</t>
        </is>
      </c>
      <c r="H7" s="3" t="inlineStr">
        <is>
          <t>b900058e4cfa65a8adf0566f0ec6acbb18831991ce3171140301570c12b6e54f</t>
        </is>
      </c>
    </row>
    <row r="8" ht="78" customHeight="1">
      <c r="A8" s="2" t="inlineStr">
        <is>
          <t>LB_Q</t>
        </is>
      </c>
      <c r="B8" s="2" t="inlineStr">
        <is>
          <t>老板电器2026-001活动记录</t>
        </is>
      </c>
      <c r="C8" s="2" t="inlineStr">
        <is>
          <t>PDF共4页；提问1–5；仅活动日，无各题原始提交时间</t>
        </is>
      </c>
      <c r="D8" s="2" t="inlineStr">
        <is>
          <t>仅题目出处；回复隔离</t>
        </is>
      </c>
      <c r="E8" s="2" t="inlineStr">
        <is>
          <t>2026-05-13</t>
        </is>
      </c>
      <c r="F8" s="4" t="inlineStr">
        <is>
          <t>https://static.cninfo.com.cn/finalpage/2026-05-13/1225304104.PDF</t>
        </is>
      </c>
      <c r="G8" s="2" t="inlineStr">
        <is>
          <t>完整PDF已在工作区归档</t>
        </is>
      </c>
      <c r="H8" s="2" t="inlineStr">
        <is>
          <t>c0715b6a8afbfa9f84aa9639094c31199dcfd6a37af6913361b50664527c6379</t>
        </is>
      </c>
    </row>
    <row r="9" ht="78" customHeight="1">
      <c r="A9" s="3" t="inlineStr">
        <is>
          <t>LX_Q</t>
        </is>
      </c>
      <c r="B9" s="3" t="inlineStr">
        <is>
          <t>立讯精密2026-002活动记录</t>
        </is>
      </c>
      <c r="C9" s="3" t="inlineStr">
        <is>
          <t>PDF共14页；第2、14、18、42、67、85问；活动5月6日、网页披露5月7日</t>
        </is>
      </c>
      <c r="D9" s="3" t="inlineStr">
        <is>
          <t>仅题目出处；回复隔离</t>
        </is>
      </c>
      <c r="E9" s="3" t="inlineStr">
        <is>
          <t>2026-05-07</t>
        </is>
      </c>
      <c r="F9" s="5" t="inlineStr">
        <is>
          <t>https://static.cninfo.com.cn/finalpage/2026-05-07/1225280960.PDF</t>
        </is>
      </c>
      <c r="G9" s="3" t="inlineStr">
        <is>
          <t>完整PDF已在工作区归档</t>
        </is>
      </c>
      <c r="H9" s="3" t="inlineStr">
        <is>
          <t>1dc51b5d149956bd867cb2bca6c0c25df5547d7599d1917aa9435e14c96a47b0</t>
        </is>
      </c>
    </row>
    <row r="10" ht="78" customHeight="1">
      <c r="A10" s="2" t="inlineStr">
        <is>
          <t>ZD_Q</t>
        </is>
      </c>
      <c r="B10" s="2" t="inlineStr">
        <is>
          <t>智动力互动易页面</t>
        </is>
      </c>
      <c r="C10" s="2" t="inlineStr">
        <is>
          <t>网页另存PDF或截图，保留5条提问的时间</t>
        </is>
      </c>
      <c r="D10" s="2" t="inlineStr">
        <is>
          <t>仅题目出处；回复隔离</t>
        </is>
      </c>
      <c r="E10" s="2" t="inlineStr">
        <is>
          <t>2026-05-20</t>
        </is>
      </c>
      <c r="F10" s="4" t="inlineStr">
        <is>
          <t>https://irm.cninfo.com.cn/interview/interview/activityInfo?activityId=1437191345574051840</t>
        </is>
      </c>
      <c r="G10" s="2" t="inlineStr">
        <is>
          <t>未归档</t>
        </is>
      </c>
      <c r="H10" s="2" t="n"/>
    </row>
    <row r="11" ht="78" customHeight="1">
      <c r="A11" s="3" t="inlineStr">
        <is>
          <t>SP_Q</t>
        </is>
      </c>
      <c r="B11" s="3" t="inlineStr">
        <is>
          <t>苏泊尔互动易页面</t>
        </is>
      </c>
      <c r="C11" s="3" t="inlineStr">
        <is>
          <t>网页另存PDF或截图，保留4条提问的时间</t>
        </is>
      </c>
      <c r="D11" s="3" t="inlineStr">
        <is>
          <t>仅题目出处；回复隔离</t>
        </is>
      </c>
      <c r="E11" s="3" t="inlineStr">
        <is>
          <t>2026-04-09</t>
        </is>
      </c>
      <c r="F11" s="5" t="inlineStr">
        <is>
          <t>https://irm.cninfo.com.cn/interview/interview/activityInfo?activityId=1421084780166873088</t>
        </is>
      </c>
      <c r="G11" s="3" t="inlineStr">
        <is>
          <t>未归档</t>
        </is>
      </c>
      <c r="H11" s="3" t="n"/>
    </row>
    <row r="12" ht="78" customHeight="1">
      <c r="A12" s="2" t="inlineStr">
        <is>
          <t>REG</t>
        </is>
      </c>
      <c r="B12" s="2" t="inlineStr">
        <is>
          <t>2022年投资者关系管理工作指引</t>
        </is>
      </c>
      <c r="C12" s="2" t="inlineStr">
        <is>
          <t>PDF共10页；重点2、5、8</t>
        </is>
      </c>
      <c r="D12" s="2" t="inlineStr">
        <is>
          <t>规则来源</t>
        </is>
      </c>
      <c r="E12" s="2" t="inlineStr">
        <is>
          <t>2022-04-11</t>
        </is>
      </c>
      <c r="F12" s="4" t="inlineStr">
        <is>
          <t>https://www.csrc.gov.cn/csrc/c101954/c2334702/2334702/files/%E9%99%84%E4%BB%B61%EF%BC%9A%E4%B8%8A%E5%B8%82%E5%85%AC%E5%8F%B8%E6%8A%95%E8%B5%84%E8%80%85%E5%85%B3%E7%B3%BB%E7%AE%A1%E7%90%86%E5%B7%A5%E4%BD%9C%E6%8C%87%E5%BC%95.pdf</t>
        </is>
      </c>
      <c r="G12" s="2" t="inlineStr">
        <is>
          <t>未归档</t>
        </is>
      </c>
      <c r="H12" s="2" t="n"/>
    </row>
  </sheetData>
  <autoFilter ref="A1:H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70" customWidth="1" min="6" max="6"/>
  </cols>
  <sheetData>
    <row r="1" ht="34" customHeight="1">
      <c r="A1" s="1" t="inlineStr">
        <is>
          <t>公司</t>
        </is>
      </c>
      <c r="B1" s="1" t="inlineStr">
        <is>
          <t>代码</t>
        </is>
      </c>
      <c r="C1" s="1" t="inlineStr">
        <is>
          <t>业务分组_待统一行业代码</t>
        </is>
      </c>
      <c r="D1" s="1" t="inlineStr">
        <is>
          <t>候选数</t>
        </is>
      </c>
      <c r="E1" s="1" t="inlineStr">
        <is>
          <t>当前来源状态</t>
        </is>
      </c>
      <c r="F1" s="1" t="inlineStr">
        <is>
          <t>下一步</t>
        </is>
      </c>
    </row>
    <row r="2" ht="78" customHeight="1">
      <c r="A2" s="2" t="inlineStr">
        <is>
          <t>智动力</t>
        </is>
      </c>
      <c r="B2" s="2" t="inlineStr">
        <is>
          <t>300686</t>
        </is>
      </c>
      <c r="C2" s="2" t="inlineStr">
        <is>
          <t>电子制造候选组</t>
        </is>
      </c>
      <c r="D2" s="2" t="n">
        <v>5</v>
      </c>
      <c r="E2" s="2" t="inlineStr">
        <is>
          <t>5题时间明确；年报/一季报原件已归档</t>
        </is>
      </c>
      <c r="F2" s="2" t="inlineStr">
        <is>
          <t>A/D独立核对与证据范围校准</t>
        </is>
      </c>
    </row>
    <row r="3" ht="78" customHeight="1">
      <c r="A3" s="3" t="inlineStr">
        <is>
          <t>立讯精密</t>
        </is>
      </c>
      <c r="B3" s="3" t="inlineStr">
        <is>
          <t>002475</t>
        </is>
      </c>
      <c r="C3" s="3" t="inlineStr">
        <is>
          <t>电子制造候选组</t>
        </is>
      </c>
      <c r="D3" s="3" t="n">
        <v>6</v>
      </c>
      <c r="E3" s="3" t="inlineStr">
        <is>
          <t>公司网上说明会记录；原问时间缺</t>
        </is>
      </c>
      <c r="F3" s="3" t="inlineStr">
        <is>
          <t>补原平台时间，否则仅预实验备选</t>
        </is>
      </c>
    </row>
    <row r="4" ht="78" customHeight="1">
      <c r="A4" s="2" t="inlineStr">
        <is>
          <t>歌尔股份</t>
        </is>
      </c>
      <c r="B4" s="2" t="inlineStr">
        <is>
          <t>002241</t>
        </is>
      </c>
      <c r="C4" s="2" t="inlineStr">
        <is>
          <t>电子制造候选组</t>
        </is>
      </c>
      <c r="D4" s="2" t="n">
        <v>0</v>
      </c>
      <c r="E4" s="2" t="inlineStr">
        <is>
          <t>本轮未完成问题与证据成对采集</t>
        </is>
      </c>
      <c r="F4" s="2" t="inlineStr">
        <is>
          <t>优先检索直接事实题和边界题；不是已完成样本</t>
        </is>
      </c>
    </row>
    <row r="5" ht="78" customHeight="1">
      <c r="A5" s="3" t="inlineStr">
        <is>
          <t>蓝思科技</t>
        </is>
      </c>
      <c r="B5" s="3" t="inlineStr">
        <is>
          <t>300433</t>
        </is>
      </c>
      <c r="C5" s="3" t="inlineStr">
        <is>
          <t>电子制造候选组</t>
        </is>
      </c>
      <c r="D5" s="3" t="n">
        <v>0</v>
      </c>
      <c r="E5" s="3" t="inlineStr">
        <is>
          <t>本轮未完成问题与证据成对采集</t>
        </is>
      </c>
      <c r="F5" s="3" t="inlineStr">
        <is>
          <t>同上</t>
        </is>
      </c>
    </row>
    <row r="6" ht="78" customHeight="1">
      <c r="A6" s="2" t="inlineStr">
        <is>
          <t>苏泊尔</t>
        </is>
      </c>
      <c r="B6" s="2" t="inlineStr">
        <is>
          <t>002032</t>
        </is>
      </c>
      <c r="C6" s="2" t="inlineStr">
        <is>
          <t>家电制造候选组</t>
        </is>
      </c>
      <c r="D6" s="2" t="n">
        <v>4</v>
      </c>
      <c r="E6" s="2" t="inlineStr">
        <is>
          <t>互动易原问时间可见</t>
        </is>
      </c>
      <c r="F6" s="2" t="inlineStr">
        <is>
          <t>一题表间差异U；4月题只作预实验，不混入原拟5–9月正式窗口</t>
        </is>
      </c>
    </row>
    <row r="7" ht="78" customHeight="1">
      <c r="A7" s="3" t="inlineStr">
        <is>
          <t>老板电器</t>
        </is>
      </c>
      <c r="B7" s="3" t="inlineStr">
        <is>
          <t>002508</t>
        </is>
      </c>
      <c r="C7" s="3" t="inlineStr">
        <is>
          <t>家电制造候选组</t>
        </is>
      </c>
      <c r="D7" s="3" t="n">
        <v>5</v>
      </c>
      <c r="E7" s="3" t="inlineStr">
        <is>
          <t>公司网上说明会记录；原问时间缺</t>
        </is>
      </c>
      <c r="F7" s="3" t="inlineStr">
        <is>
          <t>补原平台时间，否则仅预实验备选</t>
        </is>
      </c>
    </row>
    <row r="8" ht="78" customHeight="1">
      <c r="A8" s="2" t="inlineStr">
        <is>
          <t>美的集团</t>
        </is>
      </c>
      <c r="B8" s="2" t="inlineStr">
        <is>
          <t>000333</t>
        </is>
      </c>
      <c r="C8" s="2" t="inlineStr">
        <is>
          <t>家电制造候选组</t>
        </is>
      </c>
      <c r="D8" s="2" t="n">
        <v>0</v>
      </c>
      <c r="E8" s="2" t="inlineStr">
        <is>
          <t>本轮未完成问题与证据成对采集</t>
        </is>
      </c>
      <c r="F8" s="2" t="inlineStr">
        <is>
          <t>不能将与上证同名/跨交易所资料混入</t>
        </is>
      </c>
    </row>
    <row r="9" ht="78" customHeight="1">
      <c r="A9" s="3" t="inlineStr">
        <is>
          <t>格力电器</t>
        </is>
      </c>
      <c r="B9" s="3" t="inlineStr">
        <is>
          <t>000651</t>
        </is>
      </c>
      <c r="C9" s="3" t="inlineStr">
        <is>
          <t>家电制造候选组</t>
        </is>
      </c>
      <c r="D9" s="3" t="n">
        <v>0</v>
      </c>
      <c r="E9" s="3" t="inlineStr">
        <is>
          <t>本轮未完成问题与证据成对采集</t>
        </is>
      </c>
      <c r="F9" s="3" t="inlineStr">
        <is>
          <t>优先获取可访问平台原问与时间</t>
        </is>
      </c>
    </row>
  </sheetData>
  <autoFilter ref="A1:F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65" customWidth="1" min="2" max="2"/>
    <col width="26" customWidth="1" min="3" max="3"/>
    <col width="26" customWidth="1" min="4" max="4"/>
    <col width="26" customWidth="1" min="5" max="5"/>
    <col width="60" customWidth="1" min="6" max="6"/>
    <col width="60" customWidth="1" min="7" max="7"/>
    <col width="60" customWidth="1" min="8" max="8"/>
    <col width="26" customWidth="1" min="9" max="9"/>
    <col width="50" customWidth="1" min="10" max="10"/>
    <col width="60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78" customHeight="1">
      <c r="A2" s="2" t="inlineStr">
        <is>
          <t>L11b</t>
        </is>
      </c>
      <c r="B2" s="2" t="inlineStr">
        <is>
          <t>Retail Investor Interactive Platform Activity and Information Asymmetry Among Investors: Should Regulators be Concerned?</t>
        </is>
      </c>
      <c r="C2" s="2" t="inlineStr">
        <is>
          <t>Zhenhua Chen; William J. Mayew; Wentao Ren; Pengcheng Zhu</t>
        </is>
      </c>
      <c r="D2" s="2" t="inlineStr">
        <is>
          <t>2025-08-05工作论文；用户上传46页PDF；不是已发表期刊论文</t>
        </is>
      </c>
      <c r="E2" s="2" t="inlineStr">
        <is>
          <t>已核读上传全文及附表；取代L11a作为本研究主引版本</t>
        </is>
      </c>
      <c r="F2" s="2" t="inlineStr">
        <is>
          <t>深市2010-01、沪市2013-07起，至2022-06。清理后4,404,092条帖子、4,152,730条回复；回归样本4,680公司、7,818,963公司—交易日。平台活动公司4,814家不是回归公司数。</t>
        </is>
      </c>
      <c r="G2" s="2" t="inlineStr">
        <is>
          <t>报价相对价差SPREAD_Q，单位基点；发帖/回复数量、总字数取ln(1+x)。BERT区分提问/评论及直接回答/非回答。时效分组阈值56.98小时。</t>
        </is>
      </c>
      <c r="H2" s="2" t="inlineStr">
        <is>
          <t>高质量回复与较低报价价差关联更强；2018—2022年及时与不及时高质量回复的差异不显著。回复相对提问的关联较弱；结果不能直接解释为因果或投资收益。</t>
        </is>
      </c>
      <c r="I2" s="2" t="inlineStr">
        <is>
          <t>OLS，公司和日期固定效应，双向聚类；无清晰外生冲击；替代价差指标下结论敏感。</t>
        </is>
      </c>
      <c r="J2" s="2" t="inlineStr">
        <is>
          <t>样本pp.9–10；质量pp.18–19、附录C pp.33–34；时效p.21、表6B p.45；主结果表5C p.43；边界pp.24–26。PDF序号=正文页+1。</t>
        </is>
      </c>
      <c r="K2" s="2" t="inlineStr">
        <is>
          <t>“直接回答”不等于事实正确；低质量不是幻觉率。文中把不能提供投资建议列为非回答，不能机械迁移到本研究。未测量回复成本，不能推断整体社会净收益。</t>
        </is>
      </c>
      <c r="L2" s="2" t="inlineStr">
        <is>
          <t>借鉴双人标注和分类验证；把回复质量进一步拆成事实、证据、覆盖、边界与过度拒答；填补生产成本测量。</t>
        </is>
      </c>
      <c r="M2" s="2" t="inlineStr">
        <is>
          <t>未实测API/人工成本；模型训练分类准确率不是我们的生成回复合格率。</t>
        </is>
      </c>
      <c r="N2" s="4" t="inlineStr">
        <is>
          <t>https://papers.ssrn.com/sol3/papers.cfm?abstract_id=4281898</t>
        </is>
      </c>
    </row>
    <row r="3" ht="78" customHeight="1">
      <c r="A3" s="3" t="inlineStr">
        <is>
          <t>L13</t>
        </is>
      </c>
      <c r="B3" s="3" t="inlineStr">
        <is>
          <t>投资者互动监督与企业真实盈余管理——基于大语言模型的证据</t>
        </is>
      </c>
      <c r="C3" s="3" t="inlineStr">
        <is>
          <t>樊犇；吴燕博；刘恒源</t>
        </is>
      </c>
      <c r="D3" s="3" t="inlineStr">
        <is>
          <t>审计与经济研究，2026，41(4)：94–104</t>
        </is>
      </c>
      <c r="E3" s="3" t="inlineStr">
        <is>
          <t>上传11页PDF已逐页图像核读；文字层乱码，关键公式和表格以原页为准</t>
        </is>
      </c>
      <c r="F3" s="3" t="inlineStr">
        <is>
          <t>2011—2023年沪深A股；25,996个公司—年度观测；公司数量正文未明确报告。剔除金融、房地产、ST/*ST/PT及缺失样本。</t>
        </is>
      </c>
      <c r="G3" s="3" t="inlineStr">
        <is>
          <t>Word2vec扩词初筛350,474帖，Qwen2.5-72B识别310,572监督帖；Iig=ln(1+公司年度监督帖数)。基准REM按p.97式(4)为R_CFO+R_PROD+R_DISEXP；p.99稳健性REMs为−R_CFO+R_PROD−R_DISEXP，须分别记录。</t>
        </is>
      </c>
      <c r="H3" s="3" t="inlineStr">
        <is>
          <t>表2列(3)Iig系数−0.0022，作者标示1%显著；互动监督与较少真实盈余管理有关。机制分析涉及信息透明度及资源获取。</t>
        </is>
      </c>
      <c r="I3" s="3" t="inlineStr">
        <is>
          <t>公司/年度固定效应，公司聚类；替代指标与固定效应、工具变量2SLS及Heckman等。工具变量排除限制仍依赖假设。</t>
        </is>
      </c>
      <c r="J3" s="3" t="inlineStr">
        <is>
          <t>样本与REM pp.97–98；LLM及提示词p.98脚注5；N与基准表2 p.99；内生性p.100；机制p.101；分组pp.102–103。PDF序号=印刷页−93。</t>
        </is>
      </c>
      <c r="K3" s="3" t="inlineStr">
        <is>
          <t>正文未报告独立人工验证集准确率/混淆矩阵；关键词预筛可能遗漏监督帖。LLM只测量监督，不生成投关回复。分组一显著一不显著不自动等于组间差异显著。</t>
        </is>
      </c>
      <c r="L3" s="3" t="inlineStr">
        <is>
          <t>说明“AI用于互动文本”已有研究；创新放在证据约束、边界流程和质量调整成本，而非首次使用大模型。</t>
        </is>
      </c>
      <c r="M3" s="3" t="inlineStr">
        <is>
          <t>模型调用费用、Token、精确服务版本、独立标注验证不详；不补造这些字段。</t>
        </is>
      </c>
      <c r="N3" s="5" t="inlineStr">
        <is>
          <t>https://xbbjb.nau.edu.cn/sjyjjyj/article/abstract/20260204010</t>
        </is>
      </c>
    </row>
    <row r="4" ht="78" customHeight="1">
      <c r="A4" s="2" t="inlineStr">
        <is>
          <t>L14</t>
        </is>
      </c>
      <c r="B4" s="2" t="inlineStr">
        <is>
          <t>网络平台互动与股票异质性风险</t>
        </is>
      </c>
      <c r="C4" s="2" t="inlineStr">
        <is>
          <t>徐寿福；郑迎飞；罗雨杰</t>
        </is>
      </c>
      <c r="D4" s="2" t="inlineStr">
        <is>
          <t>财经研究，2022，48(10)：153–168；DOI:10.16538/j.cnki.jfe.20220614.102</t>
        </is>
      </c>
      <c r="E4" s="2" t="inlineStr">
        <is>
          <t>期刊官网完整16页PDF及HTML已核读；替换无法取得全文的L12</t>
        </is>
      </c>
      <c r="F4" s="2" t="inlineStr">
        <is>
          <t>深市2010—2020、沪市2013-07—2020；92,155公司—季度观测（p.156）。</t>
        </is>
      </c>
      <c r="G4" s="2" t="inlineStr">
        <is>
          <t>互动频次及平均文本字数取ln(1+x)；CAPM残差季度波动衡量异质性风险（p.157）。</t>
        </is>
      </c>
      <c r="H4" s="2" t="inlineStr">
        <is>
          <t>互动程度与异质性风险正相关；意见分歧为解释机制（pp.159、162）。</t>
        </is>
      </c>
      <c r="I4" s="2" t="inlineStr">
        <is>
          <t>公司/季度固定效应；另做2SLS（pp.158–160）。</t>
        </is>
      </c>
      <c r="J4" s="2" t="inlineStr">
        <is>
          <t>样本p.156；指标p.157；表3 p.159；机制p.162；结论p.165。PDF序号=印刷页−152。</t>
        </is>
      </c>
      <c r="K4" s="2" t="inlineStr">
        <is>
          <t>观察性证据；不能据此认定AI回复造成股价风险。</t>
        </is>
      </c>
      <c r="L4" s="2" t="inlineStr">
        <is>
          <t>为“回复增加未必改善信息环境”提供反面背景。</t>
        </is>
      </c>
      <c r="M4" s="2" t="inlineStr">
        <is>
          <t>非AI生成实验，无可直接迁用的合格回复成本。</t>
        </is>
      </c>
      <c r="N4" s="4" t="inlineStr">
        <is>
          <t>https://qks.shufe.edu.cn/j/PDFFull/17794c14-b22d-4e71-b91b-053fc480a45a.pdf</t>
        </is>
      </c>
    </row>
  </sheetData>
  <autoFilter ref="A1:N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5" customWidth="1" min="2" max="2"/>
    <col width="26" customWidth="1" min="3" max="3"/>
    <col width="26" customWidth="1" min="4" max="4"/>
    <col width="90" customWidth="1" min="5" max="5"/>
  </cols>
  <sheetData>
    <row r="1" ht="34" customHeight="1">
      <c r="A1" s="1" t="inlineStr">
        <is>
          <t>文献</t>
        </is>
      </c>
      <c r="B1" s="1" t="inlineStr">
        <is>
          <t>核查项</t>
        </is>
      </c>
      <c r="C1" s="1" t="inlineStr">
        <is>
          <t>正文印刷页</t>
        </is>
      </c>
      <c r="D1" s="1" t="inlineStr">
        <is>
          <t>PDF页序_从1起</t>
        </is>
      </c>
      <c r="E1" s="1" t="inlineStr">
        <is>
          <t>定位说明</t>
        </is>
      </c>
    </row>
    <row r="2" ht="78" customHeight="1">
      <c r="A2" s="2" t="inlineStr">
        <is>
          <t>L11b</t>
        </is>
      </c>
      <c r="B2" s="2" t="inlineStr">
        <is>
          <t>平台文本样本</t>
        </is>
      </c>
      <c r="C2" s="2" t="inlineStr">
        <is>
          <t>9</t>
        </is>
      </c>
      <c r="D2" s="2" t="inlineStr">
        <is>
          <t>10</t>
        </is>
      </c>
      <c r="E2" s="2" t="inlineStr">
        <is>
          <t>4,404,092帖；4,152,730回复；4,814有活动公司。</t>
        </is>
      </c>
    </row>
    <row r="3" ht="78" customHeight="1">
      <c r="A3" s="3" t="inlineStr">
        <is>
          <t>L11b</t>
        </is>
      </c>
      <c r="B3" s="3" t="inlineStr">
        <is>
          <t>回归样本与价差</t>
        </is>
      </c>
      <c r="C3" s="3" t="inlineStr">
        <is>
          <t>10</t>
        </is>
      </c>
      <c r="D3" s="3" t="inlineStr">
        <is>
          <t>11</t>
        </is>
      </c>
      <c r="E3" s="3" t="inlineStr">
        <is>
          <t>7,818,963公司—交易日、4,680公司；价差以基点计。</t>
        </is>
      </c>
    </row>
    <row r="4" ht="78" customHeight="1">
      <c r="A4" s="2" t="inlineStr">
        <is>
          <t>L11b</t>
        </is>
      </c>
      <c r="B4" s="2" t="inlineStr">
        <is>
          <t>帖子分类验证</t>
        </is>
      </c>
      <c r="C4" s="2" t="inlineStr">
        <is>
          <t>15–16</t>
        </is>
      </c>
      <c r="D4" s="2" t="inlineStr">
        <is>
          <t>16–17</t>
        </is>
      </c>
      <c r="E4" s="2" t="inlineStr">
        <is>
          <t>3,000条人工标注；2,000训练/1,000测试；提问/评论准确率94.30%。</t>
        </is>
      </c>
    </row>
    <row r="5" ht="78" customHeight="1">
      <c r="A5" s="3" t="inlineStr">
        <is>
          <t>L11b</t>
        </is>
      </c>
      <c r="B5" s="3" t="inlineStr">
        <is>
          <t>回复质量定义</t>
        </is>
      </c>
      <c r="C5" s="3" t="inlineStr">
        <is>
          <t>18–19</t>
        </is>
      </c>
      <c r="D5" s="3" t="inlineStr">
        <is>
          <t>19–20</t>
        </is>
      </c>
      <c r="E5" s="3" t="inlineStr">
        <is>
          <t>直接回答/非回答；不采用问答相似度代表质量。</t>
        </is>
      </c>
    </row>
    <row r="6" ht="78" customHeight="1">
      <c r="A6" s="2" t="inlineStr">
        <is>
          <t>L11b</t>
        </is>
      </c>
      <c r="B6" s="2" t="inlineStr">
        <is>
          <t>回复分类验证</t>
        </is>
      </c>
      <c r="C6" s="2" t="inlineStr">
        <is>
          <t>33–34（附录C）</t>
        </is>
      </c>
      <c r="D6" s="2" t="inlineStr">
        <is>
          <t>34–35</t>
        </is>
      </c>
      <c r="E6" s="2" t="inlineStr">
        <is>
          <t>3,000条标注，2,000训练/1,000测试；准确率92.00%，不是94.30%。</t>
        </is>
      </c>
    </row>
    <row r="7" ht="78" customHeight="1">
      <c r="A7" s="3" t="inlineStr">
        <is>
          <t>L11b</t>
        </is>
      </c>
      <c r="B7" s="3" t="inlineStr">
        <is>
          <t>低质量回复比例</t>
        </is>
      </c>
      <c r="C7" s="3" t="inlineStr">
        <is>
          <t>19</t>
        </is>
      </c>
      <c r="D7" s="3" t="inlineStr">
        <is>
          <t>20</t>
        </is>
      </c>
      <c r="E7" s="3" t="inlineStr">
        <is>
          <t>所有回复24.2%；针对问题回复19.6%，分母不同。不是事实错误率。</t>
        </is>
      </c>
    </row>
    <row r="8" ht="78" customHeight="1">
      <c r="A8" s="2" t="inlineStr">
        <is>
          <t>L11b</t>
        </is>
      </c>
      <c r="B8" s="2" t="inlineStr">
        <is>
          <t>时效与近期样本差异</t>
        </is>
      </c>
      <c r="C8" s="2" t="inlineStr">
        <is>
          <t>21；45（表6B）</t>
        </is>
      </c>
      <c r="D8" s="2" t="inlineStr">
        <is>
          <t>22；46</t>
        </is>
      </c>
      <c r="E8" s="2" t="inlineStr">
        <is>
          <t>阈值56.98小时；近期质量回复时效差异不显著，p=.38（数量）、.54（长度）。</t>
        </is>
      </c>
    </row>
    <row r="9" ht="78" customHeight="1">
      <c r="A9" s="3" t="inlineStr">
        <is>
          <t>L11b</t>
        </is>
      </c>
      <c r="B9" s="3" t="inlineStr">
        <is>
          <t>质量差异结果</t>
        </is>
      </c>
      <c r="C9" s="3" t="inlineStr">
        <is>
          <t>43（表5C）</t>
        </is>
      </c>
      <c r="D9" s="3" t="inlineStr">
        <is>
          <t>44</t>
        </is>
      </c>
      <c r="E9" s="3" t="inlineStr">
        <is>
          <t>分期呈现，不能把回复相关系数解释成成本收益或投资回报。</t>
        </is>
      </c>
    </row>
    <row r="10" ht="78" customHeight="1">
      <c r="A10" s="2" t="inlineStr">
        <is>
          <t>L11b</t>
        </is>
      </c>
      <c r="B10" s="2" t="inlineStr">
        <is>
          <t>识别与指标敏感性</t>
        </is>
      </c>
      <c r="C10" s="2" t="inlineStr">
        <is>
          <t>24–25</t>
        </is>
      </c>
      <c r="D10" s="2" t="inlineStr">
        <is>
          <t>25–26</t>
        </is>
      </c>
      <c r="E10" s="2" t="inlineStr">
        <is>
          <t>无外生冲击；低频高低价价差下结果存在差异。</t>
        </is>
      </c>
    </row>
    <row r="11" ht="78" customHeight="1">
      <c r="A11" s="3" t="inlineStr">
        <is>
          <t>L11b</t>
        </is>
      </c>
      <c r="B11" s="3" t="inlineStr">
        <is>
          <t>成本缺口</t>
        </is>
      </c>
      <c r="C11" s="3" t="inlineStr">
        <is>
          <t>5；25–26</t>
        </is>
      </c>
      <c r="D11" s="3" t="inlineStr">
        <is>
          <t>6；26–27</t>
        </is>
      </c>
      <c r="E11" s="3" t="inlineStr">
        <is>
          <t>没有测量回复成本；未给出总体成本收益结论。</t>
        </is>
      </c>
    </row>
    <row r="12" ht="78" customHeight="1">
      <c r="A12" s="2" t="inlineStr">
        <is>
          <t>L13</t>
        </is>
      </c>
      <c r="B12" s="2" t="inlineStr">
        <is>
          <t>样本筛选及盈余管理</t>
        </is>
      </c>
      <c r="C12" s="2" t="inlineStr">
        <is>
          <t>97–98</t>
        </is>
      </c>
      <c r="D12" s="2" t="inlineStr">
        <is>
          <t>4–5</t>
        </is>
      </c>
      <c r="E12" s="2" t="inlineStr">
        <is>
          <t>2011—2023；基准式(4)与稳健性公式分别记录。</t>
        </is>
      </c>
    </row>
    <row r="13" ht="78" customHeight="1">
      <c r="A13" s="3" t="inlineStr">
        <is>
          <t>L13</t>
        </is>
      </c>
      <c r="B13" s="3" t="inlineStr">
        <is>
          <t>监督指标及模型提示词</t>
        </is>
      </c>
      <c r="C13" s="3" t="inlineStr">
        <is>
          <t>98、脚注5</t>
        </is>
      </c>
      <c r="D13" s="3" t="inlineStr">
        <is>
          <t>5</t>
        </is>
      </c>
      <c r="E13" s="3" t="inlineStr">
        <is>
          <t>Word2vec初筛350,474帖；Qwen2.5-72B识别310,572监督帖。</t>
        </is>
      </c>
    </row>
    <row r="14" ht="78" customHeight="1">
      <c r="A14" s="2" t="inlineStr">
        <is>
          <t>L13</t>
        </is>
      </c>
      <c r="B14" s="2" t="inlineStr">
        <is>
          <t>样本量/基准结果</t>
        </is>
      </c>
      <c r="C14" s="2" t="inlineStr">
        <is>
          <t>99，表1、表2</t>
        </is>
      </c>
      <c r="D14" s="2" t="inlineStr">
        <is>
          <t>6</t>
        </is>
      </c>
      <c r="E14" s="2" t="inlineStr">
        <is>
          <t>25,996公司—年；Iig系数−0.0022（作者标示***）。</t>
        </is>
      </c>
    </row>
    <row r="15" ht="78" customHeight="1">
      <c r="A15" s="3" t="inlineStr">
        <is>
          <t>L13</t>
        </is>
      </c>
      <c r="B15" s="3" t="inlineStr">
        <is>
          <t>内生性处理</t>
        </is>
      </c>
      <c r="C15" s="3" t="inlineStr">
        <is>
          <t>100，表4</t>
        </is>
      </c>
      <c r="D15" s="3" t="inlineStr">
        <is>
          <t>7</t>
        </is>
      </c>
      <c r="E15" s="3" t="inlineStr">
        <is>
          <t>两类工具变量/Heckman；不把统计检验通过当成排除限制证明。</t>
        </is>
      </c>
    </row>
    <row r="16" ht="78" customHeight="1">
      <c r="A16" s="2" t="inlineStr">
        <is>
          <t>L13</t>
        </is>
      </c>
      <c r="B16" s="2" t="inlineStr">
        <is>
          <t>机制</t>
        </is>
      </c>
      <c r="C16" s="2" t="inlineStr">
        <is>
          <t>101，表5、表6</t>
        </is>
      </c>
      <c r="D16" s="2" t="inlineStr">
        <is>
          <t>8</t>
        </is>
      </c>
      <c r="E16" s="2" t="inlineStr">
        <is>
          <t>信息透明度和资源获取指标；不能宣称实验验证了因果中介。</t>
        </is>
      </c>
    </row>
    <row r="17" ht="78" customHeight="1">
      <c r="A17" s="3" t="inlineStr">
        <is>
          <t>L13</t>
        </is>
      </c>
      <c r="B17" s="3" t="inlineStr">
        <is>
          <t>分组与结论</t>
        </is>
      </c>
      <c r="C17" s="3" t="inlineStr">
        <is>
          <t>102–103，表7、表8</t>
        </is>
      </c>
      <c r="D17" s="3" t="inlineStr">
        <is>
          <t>9–10</t>
        </is>
      </c>
      <c r="E17" s="3" t="inlineStr">
        <is>
          <t>部分子组显著，需谨慎解释组间差异。</t>
        </is>
      </c>
    </row>
    <row r="18" ht="78" customHeight="1">
      <c r="A18" s="2" t="inlineStr">
        <is>
          <t>L14</t>
        </is>
      </c>
      <c r="B18" s="2" t="inlineStr">
        <is>
          <t>样本/指标/结果定位</t>
        </is>
      </c>
      <c r="C18" s="2" t="inlineStr">
        <is>
          <t>156；157；159；162；165</t>
        </is>
      </c>
      <c r="D18" s="2" t="inlineStr">
        <is>
          <t>4；5；7；10；13</t>
        </is>
      </c>
      <c r="E18" s="2" t="inlineStr">
        <is>
          <t>样本；变量；表3；机制；结论。</t>
        </is>
      </c>
    </row>
  </sheetData>
  <autoFilter ref="A1:E18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45" customWidth="1" min="7" max="7"/>
    <col width="26" customWidth="1" min="8" max="8"/>
    <col width="26" customWidth="1" min="9" max="9"/>
    <col width="65" customWidth="1" min="10" max="10"/>
  </cols>
  <sheetData>
    <row r="1" ht="34" customHeight="1">
      <c r="A1" s="1" t="inlineStr">
        <is>
          <t>task_id</t>
        </is>
      </c>
      <c r="B1" s="1" t="inlineStr">
        <is>
          <t>question_slot</t>
        </is>
      </c>
      <c r="C1" s="1" t="inlineStr">
        <is>
          <t>planned_type</t>
        </is>
      </c>
      <c r="D1" s="1" t="inlineStr">
        <is>
          <t>writer</t>
        </is>
      </c>
      <c r="E1" s="1" t="inlineStr">
        <is>
          <t>condition</t>
        </is>
      </c>
      <c r="F1" s="1" t="inlineStr">
        <is>
          <t>actual_question_id</t>
        </is>
      </c>
      <c r="G1" s="1" t="inlineStr">
        <is>
          <t>state</t>
        </is>
      </c>
      <c r="H1" s="1" t="inlineStr">
        <is>
          <t>primary_rater</t>
        </is>
      </c>
      <c r="I1" s="1" t="inlineStr">
        <is>
          <t>secondary_rater</t>
        </is>
      </c>
      <c r="J1" s="1" t="inlineStr">
        <is>
          <t>rating_limit</t>
        </is>
      </c>
    </row>
    <row r="2" ht="78" customHeight="1">
      <c r="A2" s="2" t="inlineStr">
        <is>
          <t>T-C-01</t>
        </is>
      </c>
      <c r="B2" s="2" t="inlineStr">
        <is>
          <t>SLOT-01</t>
        </is>
      </c>
      <c r="C2" s="2" t="inlineStr">
        <is>
          <t>A</t>
        </is>
      </c>
      <c r="D2" s="2" t="inlineStr">
        <is>
          <t>C</t>
        </is>
      </c>
      <c r="E2" s="2" t="inlineStr">
        <is>
          <t>H</t>
        </is>
      </c>
      <c r="F2" s="2" t="inlineStr"/>
      <c r="G2" s="2" t="inlineStr">
        <is>
          <t>待填真实正式题ID；不是实际运行</t>
        </is>
      </c>
      <c r="H2" s="2" t="inlineStr">
        <is>
          <t>A</t>
        </is>
      </c>
      <c r="I2" s="2" t="inlineStr">
        <is>
          <t>D</t>
        </is>
      </c>
      <c r="J2" s="2" t="inlineStr">
        <is>
          <t>次评者已作答同题另一条件；非完全未接触任务的盲评</t>
        </is>
      </c>
    </row>
    <row r="3" ht="78" customHeight="1">
      <c r="A3" s="3" t="inlineStr">
        <is>
          <t>T-D-01</t>
        </is>
      </c>
      <c r="B3" s="3" t="inlineStr">
        <is>
          <t>SLOT-01</t>
        </is>
      </c>
      <c r="C3" s="3" t="inlineStr">
        <is>
          <t>A</t>
        </is>
      </c>
      <c r="D3" s="3" t="inlineStr">
        <is>
          <t>D</t>
        </is>
      </c>
      <c r="E3" s="3" t="inlineStr">
        <is>
          <t>HA</t>
        </is>
      </c>
      <c r="F3" s="3" t="inlineStr"/>
      <c r="G3" s="3" t="inlineStr">
        <is>
          <t>待填真实正式题ID；不是实际运行</t>
        </is>
      </c>
      <c r="H3" s="3" t="inlineStr">
        <is>
          <t>A</t>
        </is>
      </c>
      <c r="I3" s="3" t="inlineStr">
        <is>
          <t>C</t>
        </is>
      </c>
      <c r="J3" s="3" t="inlineStr">
        <is>
          <t>次评者已作答同题另一条件；非完全未接触任务的盲评</t>
        </is>
      </c>
    </row>
    <row r="4" ht="78" customHeight="1">
      <c r="A4" s="2" t="inlineStr">
        <is>
          <t>T-C-02</t>
        </is>
      </c>
      <c r="B4" s="2" t="inlineStr">
        <is>
          <t>SLOT-02</t>
        </is>
      </c>
      <c r="C4" s="2" t="inlineStr">
        <is>
          <t>A</t>
        </is>
      </c>
      <c r="D4" s="2" t="inlineStr">
        <is>
          <t>C</t>
        </is>
      </c>
      <c r="E4" s="2" t="inlineStr">
        <is>
          <t>HA</t>
        </is>
      </c>
      <c r="F4" s="2" t="inlineStr"/>
      <c r="G4" s="2" t="inlineStr">
        <is>
          <t>待填真实正式题ID；不是实际运行</t>
        </is>
      </c>
      <c r="H4" s="2" t="inlineStr">
        <is>
          <t>A</t>
        </is>
      </c>
      <c r="I4" s="2" t="inlineStr">
        <is>
          <t>D</t>
        </is>
      </c>
      <c r="J4" s="2" t="inlineStr">
        <is>
          <t>次评者已作答同题另一条件；非完全未接触任务的盲评</t>
        </is>
      </c>
    </row>
    <row r="5" ht="78" customHeight="1">
      <c r="A5" s="3" t="inlineStr">
        <is>
          <t>T-D-02</t>
        </is>
      </c>
      <c r="B5" s="3" t="inlineStr">
        <is>
          <t>SLOT-02</t>
        </is>
      </c>
      <c r="C5" s="3" t="inlineStr">
        <is>
          <t>A</t>
        </is>
      </c>
      <c r="D5" s="3" t="inlineStr">
        <is>
          <t>D</t>
        </is>
      </c>
      <c r="E5" s="3" t="inlineStr">
        <is>
          <t>H</t>
        </is>
      </c>
      <c r="F5" s="3" t="inlineStr"/>
      <c r="G5" s="3" t="inlineStr">
        <is>
          <t>待填真实正式题ID；不是实际运行</t>
        </is>
      </c>
      <c r="H5" s="3" t="inlineStr">
        <is>
          <t>A</t>
        </is>
      </c>
      <c r="I5" s="3" t="inlineStr">
        <is>
          <t>C</t>
        </is>
      </c>
      <c r="J5" s="3" t="inlineStr">
        <is>
          <t>次评者已作答同题另一条件；非完全未接触任务的盲评</t>
        </is>
      </c>
    </row>
    <row r="6" ht="78" customHeight="1">
      <c r="A6" s="2" t="inlineStr">
        <is>
          <t>T-C-03</t>
        </is>
      </c>
      <c r="B6" s="2" t="inlineStr">
        <is>
          <t>SLOT-03</t>
        </is>
      </c>
      <c r="C6" s="2" t="inlineStr">
        <is>
          <t>A</t>
        </is>
      </c>
      <c r="D6" s="2" t="inlineStr">
        <is>
          <t>C</t>
        </is>
      </c>
      <c r="E6" s="2" t="inlineStr">
        <is>
          <t>H</t>
        </is>
      </c>
      <c r="F6" s="2" t="inlineStr"/>
      <c r="G6" s="2" t="inlineStr">
        <is>
          <t>待填真实正式题ID；不是实际运行</t>
        </is>
      </c>
      <c r="H6" s="2" t="inlineStr">
        <is>
          <t>A</t>
        </is>
      </c>
      <c r="I6" s="2" t="inlineStr">
        <is>
          <t>D</t>
        </is>
      </c>
      <c r="J6" s="2" t="inlineStr">
        <is>
          <t>次评者已作答同题另一条件；非完全未接触任务的盲评</t>
        </is>
      </c>
    </row>
    <row r="7" ht="78" customHeight="1">
      <c r="A7" s="3" t="inlineStr">
        <is>
          <t>T-D-03</t>
        </is>
      </c>
      <c r="B7" s="3" t="inlineStr">
        <is>
          <t>SLOT-03</t>
        </is>
      </c>
      <c r="C7" s="3" t="inlineStr">
        <is>
          <t>A</t>
        </is>
      </c>
      <c r="D7" s="3" t="inlineStr">
        <is>
          <t>D</t>
        </is>
      </c>
      <c r="E7" s="3" t="inlineStr">
        <is>
          <t>HA</t>
        </is>
      </c>
      <c r="F7" s="3" t="inlineStr"/>
      <c r="G7" s="3" t="inlineStr">
        <is>
          <t>待填真实正式题ID；不是实际运行</t>
        </is>
      </c>
      <c r="H7" s="3" t="inlineStr">
        <is>
          <t>A</t>
        </is>
      </c>
      <c r="I7" s="3" t="inlineStr">
        <is>
          <t>C</t>
        </is>
      </c>
      <c r="J7" s="3" t="inlineStr">
        <is>
          <t>次评者已作答同题另一条件；非完全未接触任务的盲评</t>
        </is>
      </c>
    </row>
    <row r="8" ht="78" customHeight="1">
      <c r="A8" s="2" t="inlineStr">
        <is>
          <t>T-C-04</t>
        </is>
      </c>
      <c r="B8" s="2" t="inlineStr">
        <is>
          <t>SLOT-04</t>
        </is>
      </c>
      <c r="C8" s="2" t="inlineStr">
        <is>
          <t>A</t>
        </is>
      </c>
      <c r="D8" s="2" t="inlineStr">
        <is>
          <t>C</t>
        </is>
      </c>
      <c r="E8" s="2" t="inlineStr">
        <is>
          <t>HA</t>
        </is>
      </c>
      <c r="F8" s="2" t="inlineStr"/>
      <c r="G8" s="2" t="inlineStr">
        <is>
          <t>待填真实正式题ID；不是实际运行</t>
        </is>
      </c>
      <c r="H8" s="2" t="inlineStr">
        <is>
          <t>A</t>
        </is>
      </c>
      <c r="I8" s="2" t="inlineStr">
        <is>
          <t>D</t>
        </is>
      </c>
      <c r="J8" s="2" t="inlineStr">
        <is>
          <t>次评者已作答同题另一条件；非完全未接触任务的盲评</t>
        </is>
      </c>
    </row>
    <row r="9" ht="78" customHeight="1">
      <c r="A9" s="3" t="inlineStr">
        <is>
          <t>T-D-04</t>
        </is>
      </c>
      <c r="B9" s="3" t="inlineStr">
        <is>
          <t>SLOT-04</t>
        </is>
      </c>
      <c r="C9" s="3" t="inlineStr">
        <is>
          <t>A</t>
        </is>
      </c>
      <c r="D9" s="3" t="inlineStr">
        <is>
          <t>D</t>
        </is>
      </c>
      <c r="E9" s="3" t="inlineStr">
        <is>
          <t>H</t>
        </is>
      </c>
      <c r="F9" s="3" t="inlineStr"/>
      <c r="G9" s="3" t="inlineStr">
        <is>
          <t>待填真实正式题ID；不是实际运行</t>
        </is>
      </c>
      <c r="H9" s="3" t="inlineStr">
        <is>
          <t>A</t>
        </is>
      </c>
      <c r="I9" s="3" t="inlineStr">
        <is>
          <t>C</t>
        </is>
      </c>
      <c r="J9" s="3" t="inlineStr">
        <is>
          <t>次评者已作答同题另一条件；非完全未接触任务的盲评</t>
        </is>
      </c>
    </row>
    <row r="10" ht="78" customHeight="1">
      <c r="A10" s="2" t="inlineStr">
        <is>
          <t>T-C-05</t>
        </is>
      </c>
      <c r="B10" s="2" t="inlineStr">
        <is>
          <t>SLOT-05</t>
        </is>
      </c>
      <c r="C10" s="2" t="inlineStr">
        <is>
          <t>A</t>
        </is>
      </c>
      <c r="D10" s="2" t="inlineStr">
        <is>
          <t>C</t>
        </is>
      </c>
      <c r="E10" s="2" t="inlineStr">
        <is>
          <t>H</t>
        </is>
      </c>
      <c r="F10" s="2" t="inlineStr"/>
      <c r="G10" s="2" t="inlineStr">
        <is>
          <t>待填真实正式题ID；不是实际运行</t>
        </is>
      </c>
      <c r="H10" s="2" t="inlineStr">
        <is>
          <t>A</t>
        </is>
      </c>
      <c r="I10" s="2" t="inlineStr">
        <is>
          <t>D</t>
        </is>
      </c>
      <c r="J10" s="2" t="inlineStr">
        <is>
          <t>次评者已作答同题另一条件；非完全未接触任务的盲评</t>
        </is>
      </c>
    </row>
    <row r="11" ht="78" customHeight="1">
      <c r="A11" s="3" t="inlineStr">
        <is>
          <t>T-D-05</t>
        </is>
      </c>
      <c r="B11" s="3" t="inlineStr">
        <is>
          <t>SLOT-05</t>
        </is>
      </c>
      <c r="C11" s="3" t="inlineStr">
        <is>
          <t>A</t>
        </is>
      </c>
      <c r="D11" s="3" t="inlineStr">
        <is>
          <t>D</t>
        </is>
      </c>
      <c r="E11" s="3" t="inlineStr">
        <is>
          <t>HA</t>
        </is>
      </c>
      <c r="F11" s="3" t="inlineStr"/>
      <c r="G11" s="3" t="inlineStr">
        <is>
          <t>待填真实正式题ID；不是实际运行</t>
        </is>
      </c>
      <c r="H11" s="3" t="inlineStr">
        <is>
          <t>A</t>
        </is>
      </c>
      <c r="I11" s="3" t="inlineStr">
        <is>
          <t>C</t>
        </is>
      </c>
      <c r="J11" s="3" t="inlineStr">
        <is>
          <t>次评者已作答同题另一条件；非完全未接触任务的盲评</t>
        </is>
      </c>
    </row>
    <row r="12" ht="78" customHeight="1">
      <c r="A12" s="2" t="inlineStr">
        <is>
          <t>T-C-06</t>
        </is>
      </c>
      <c r="B12" s="2" t="inlineStr">
        <is>
          <t>SLOT-06</t>
        </is>
      </c>
      <c r="C12" s="2" t="inlineStr">
        <is>
          <t>A</t>
        </is>
      </c>
      <c r="D12" s="2" t="inlineStr">
        <is>
          <t>C</t>
        </is>
      </c>
      <c r="E12" s="2" t="inlineStr">
        <is>
          <t>HA</t>
        </is>
      </c>
      <c r="F12" s="2" t="inlineStr"/>
      <c r="G12" s="2" t="inlineStr">
        <is>
          <t>待填真实正式题ID；不是实际运行</t>
        </is>
      </c>
      <c r="H12" s="2" t="inlineStr">
        <is>
          <t>A</t>
        </is>
      </c>
      <c r="I12" s="2" t="inlineStr">
        <is>
          <t>D</t>
        </is>
      </c>
      <c r="J12" s="2" t="inlineStr">
        <is>
          <t>次评者已作答同题另一条件；非完全未接触任务的盲评</t>
        </is>
      </c>
    </row>
    <row r="13" ht="78" customHeight="1">
      <c r="A13" s="3" t="inlineStr">
        <is>
          <t>T-D-06</t>
        </is>
      </c>
      <c r="B13" s="3" t="inlineStr">
        <is>
          <t>SLOT-06</t>
        </is>
      </c>
      <c r="C13" s="3" t="inlineStr">
        <is>
          <t>A</t>
        </is>
      </c>
      <c r="D13" s="3" t="inlineStr">
        <is>
          <t>D</t>
        </is>
      </c>
      <c r="E13" s="3" t="inlineStr">
        <is>
          <t>H</t>
        </is>
      </c>
      <c r="F13" s="3" t="inlineStr"/>
      <c r="G13" s="3" t="inlineStr">
        <is>
          <t>待填真实正式题ID；不是实际运行</t>
        </is>
      </c>
      <c r="H13" s="3" t="inlineStr">
        <is>
          <t>A</t>
        </is>
      </c>
      <c r="I13" s="3" t="inlineStr">
        <is>
          <t>C</t>
        </is>
      </c>
      <c r="J13" s="3" t="inlineStr">
        <is>
          <t>次评者已作答同题另一条件；非完全未接触任务的盲评</t>
        </is>
      </c>
    </row>
    <row r="14" ht="78" customHeight="1">
      <c r="A14" s="2" t="inlineStr">
        <is>
          <t>T-C-07</t>
        </is>
      </c>
      <c r="B14" s="2" t="inlineStr">
        <is>
          <t>SLOT-07</t>
        </is>
      </c>
      <c r="C14" s="2" t="inlineStr">
        <is>
          <t>B</t>
        </is>
      </c>
      <c r="D14" s="2" t="inlineStr">
        <is>
          <t>C</t>
        </is>
      </c>
      <c r="E14" s="2" t="inlineStr">
        <is>
          <t>H</t>
        </is>
      </c>
      <c r="F14" s="2" t="inlineStr"/>
      <c r="G14" s="2" t="inlineStr">
        <is>
          <t>待填真实正式题ID；不是实际运行</t>
        </is>
      </c>
      <c r="H14" s="2" t="inlineStr">
        <is>
          <t>A</t>
        </is>
      </c>
      <c r="I14" s="2" t="inlineStr">
        <is>
          <t>D</t>
        </is>
      </c>
      <c r="J14" s="2" t="inlineStr">
        <is>
          <t>次评者已作答同题另一条件；非完全未接触任务的盲评</t>
        </is>
      </c>
    </row>
    <row r="15" ht="78" customHeight="1">
      <c r="A15" s="3" t="inlineStr">
        <is>
          <t>T-D-07</t>
        </is>
      </c>
      <c r="B15" s="3" t="inlineStr">
        <is>
          <t>SLOT-07</t>
        </is>
      </c>
      <c r="C15" s="3" t="inlineStr">
        <is>
          <t>B</t>
        </is>
      </c>
      <c r="D15" s="3" t="inlineStr">
        <is>
          <t>D</t>
        </is>
      </c>
      <c r="E15" s="3" t="inlineStr">
        <is>
          <t>HA</t>
        </is>
      </c>
      <c r="F15" s="3" t="inlineStr"/>
      <c r="G15" s="3" t="inlineStr">
        <is>
          <t>待填真实正式题ID；不是实际运行</t>
        </is>
      </c>
      <c r="H15" s="3" t="inlineStr">
        <is>
          <t>A</t>
        </is>
      </c>
      <c r="I15" s="3" t="inlineStr">
        <is>
          <t>C</t>
        </is>
      </c>
      <c r="J15" s="3" t="inlineStr">
        <is>
          <t>次评者已作答同题另一条件；非完全未接触任务的盲评</t>
        </is>
      </c>
    </row>
    <row r="16" ht="78" customHeight="1">
      <c r="A16" s="2" t="inlineStr">
        <is>
          <t>T-C-08</t>
        </is>
      </c>
      <c r="B16" s="2" t="inlineStr">
        <is>
          <t>SLOT-08</t>
        </is>
      </c>
      <c r="C16" s="2" t="inlineStr">
        <is>
          <t>B</t>
        </is>
      </c>
      <c r="D16" s="2" t="inlineStr">
        <is>
          <t>C</t>
        </is>
      </c>
      <c r="E16" s="2" t="inlineStr">
        <is>
          <t>HA</t>
        </is>
      </c>
      <c r="F16" s="2" t="inlineStr"/>
      <c r="G16" s="2" t="inlineStr">
        <is>
          <t>待填真实正式题ID；不是实际运行</t>
        </is>
      </c>
      <c r="H16" s="2" t="inlineStr">
        <is>
          <t>A</t>
        </is>
      </c>
      <c r="I16" s="2" t="inlineStr">
        <is>
          <t>D</t>
        </is>
      </c>
      <c r="J16" s="2" t="inlineStr">
        <is>
          <t>次评者已作答同题另一条件；非完全未接触任务的盲评</t>
        </is>
      </c>
    </row>
    <row r="17" ht="78" customHeight="1">
      <c r="A17" s="3" t="inlineStr">
        <is>
          <t>T-D-08</t>
        </is>
      </c>
      <c r="B17" s="3" t="inlineStr">
        <is>
          <t>SLOT-08</t>
        </is>
      </c>
      <c r="C17" s="3" t="inlineStr">
        <is>
          <t>B</t>
        </is>
      </c>
      <c r="D17" s="3" t="inlineStr">
        <is>
          <t>D</t>
        </is>
      </c>
      <c r="E17" s="3" t="inlineStr">
        <is>
          <t>H</t>
        </is>
      </c>
      <c r="F17" s="3" t="inlineStr"/>
      <c r="G17" s="3" t="inlineStr">
        <is>
          <t>待填真实正式题ID；不是实际运行</t>
        </is>
      </c>
      <c r="H17" s="3" t="inlineStr">
        <is>
          <t>A</t>
        </is>
      </c>
      <c r="I17" s="3" t="inlineStr">
        <is>
          <t>C</t>
        </is>
      </c>
      <c r="J17" s="3" t="inlineStr">
        <is>
          <t>次评者已作答同题另一条件；非完全未接触任务的盲评</t>
        </is>
      </c>
    </row>
    <row r="18" ht="78" customHeight="1">
      <c r="A18" s="2" t="inlineStr">
        <is>
          <t>T-C-09</t>
        </is>
      </c>
      <c r="B18" s="2" t="inlineStr">
        <is>
          <t>SLOT-09</t>
        </is>
      </c>
      <c r="C18" s="2" t="inlineStr">
        <is>
          <t>B</t>
        </is>
      </c>
      <c r="D18" s="2" t="inlineStr">
        <is>
          <t>C</t>
        </is>
      </c>
      <c r="E18" s="2" t="inlineStr">
        <is>
          <t>H</t>
        </is>
      </c>
      <c r="F18" s="2" t="inlineStr"/>
      <c r="G18" s="2" t="inlineStr">
        <is>
          <t>待填真实正式题ID；不是实际运行</t>
        </is>
      </c>
      <c r="H18" s="2" t="inlineStr">
        <is>
          <t>A</t>
        </is>
      </c>
      <c r="I18" s="2" t="inlineStr">
        <is>
          <t>D</t>
        </is>
      </c>
      <c r="J18" s="2" t="inlineStr">
        <is>
          <t>次评者已作答同题另一条件；非完全未接触任务的盲评</t>
        </is>
      </c>
    </row>
    <row r="19" ht="78" customHeight="1">
      <c r="A19" s="3" t="inlineStr">
        <is>
          <t>T-D-09</t>
        </is>
      </c>
      <c r="B19" s="3" t="inlineStr">
        <is>
          <t>SLOT-09</t>
        </is>
      </c>
      <c r="C19" s="3" t="inlineStr">
        <is>
          <t>B</t>
        </is>
      </c>
      <c r="D19" s="3" t="inlineStr">
        <is>
          <t>D</t>
        </is>
      </c>
      <c r="E19" s="3" t="inlineStr">
        <is>
          <t>HA</t>
        </is>
      </c>
      <c r="F19" s="3" t="inlineStr"/>
      <c r="G19" s="3" t="inlineStr">
        <is>
          <t>待填真实正式题ID；不是实际运行</t>
        </is>
      </c>
      <c r="H19" s="3" t="inlineStr">
        <is>
          <t>A</t>
        </is>
      </c>
      <c r="I19" s="3" t="inlineStr">
        <is>
          <t>C</t>
        </is>
      </c>
      <c r="J19" s="3" t="inlineStr">
        <is>
          <t>次评者已作答同题另一条件；非完全未接触任务的盲评</t>
        </is>
      </c>
    </row>
    <row r="20" ht="78" customHeight="1">
      <c r="A20" s="2" t="inlineStr">
        <is>
          <t>T-C-10</t>
        </is>
      </c>
      <c r="B20" s="2" t="inlineStr">
        <is>
          <t>SLOT-10</t>
        </is>
      </c>
      <c r="C20" s="2" t="inlineStr">
        <is>
          <t>B</t>
        </is>
      </c>
      <c r="D20" s="2" t="inlineStr">
        <is>
          <t>C</t>
        </is>
      </c>
      <c r="E20" s="2" t="inlineStr">
        <is>
          <t>HA</t>
        </is>
      </c>
      <c r="F20" s="2" t="inlineStr"/>
      <c r="G20" s="2" t="inlineStr">
        <is>
          <t>待填真实正式题ID；不是实际运行</t>
        </is>
      </c>
      <c r="H20" s="2" t="inlineStr">
        <is>
          <t>A</t>
        </is>
      </c>
      <c r="I20" s="2" t="inlineStr">
        <is>
          <t>D</t>
        </is>
      </c>
      <c r="J20" s="2" t="inlineStr">
        <is>
          <t>次评者已作答同题另一条件；非完全未接触任务的盲评</t>
        </is>
      </c>
    </row>
    <row r="21" ht="78" customHeight="1">
      <c r="A21" s="3" t="inlineStr">
        <is>
          <t>T-D-10</t>
        </is>
      </c>
      <c r="B21" s="3" t="inlineStr">
        <is>
          <t>SLOT-10</t>
        </is>
      </c>
      <c r="C21" s="3" t="inlineStr">
        <is>
          <t>B</t>
        </is>
      </c>
      <c r="D21" s="3" t="inlineStr">
        <is>
          <t>D</t>
        </is>
      </c>
      <c r="E21" s="3" t="inlineStr">
        <is>
          <t>H</t>
        </is>
      </c>
      <c r="F21" s="3" t="inlineStr"/>
      <c r="G21" s="3" t="inlineStr">
        <is>
          <t>待填真实正式题ID；不是实际运行</t>
        </is>
      </c>
      <c r="H21" s="3" t="inlineStr">
        <is>
          <t>A</t>
        </is>
      </c>
      <c r="I21" s="3" t="inlineStr">
        <is>
          <t>C</t>
        </is>
      </c>
      <c r="J21" s="3" t="inlineStr">
        <is>
          <t>次评者已作答同题另一条件；非完全未接触任务的盲评</t>
        </is>
      </c>
    </row>
    <row r="22" ht="78" customHeight="1">
      <c r="A22" s="2" t="inlineStr">
        <is>
          <t>T-C-11</t>
        </is>
      </c>
      <c r="B22" s="2" t="inlineStr">
        <is>
          <t>SLOT-11</t>
        </is>
      </c>
      <c r="C22" s="2" t="inlineStr">
        <is>
          <t>B</t>
        </is>
      </c>
      <c r="D22" s="2" t="inlineStr">
        <is>
          <t>C</t>
        </is>
      </c>
      <c r="E22" s="2" t="inlineStr">
        <is>
          <t>H</t>
        </is>
      </c>
      <c r="F22" s="2" t="inlineStr"/>
      <c r="G22" s="2" t="inlineStr">
        <is>
          <t>待填真实正式题ID；不是实际运行</t>
        </is>
      </c>
      <c r="H22" s="2" t="inlineStr">
        <is>
          <t>A</t>
        </is>
      </c>
      <c r="I22" s="2" t="inlineStr">
        <is>
          <t>D</t>
        </is>
      </c>
      <c r="J22" s="2" t="inlineStr">
        <is>
          <t>次评者已作答同题另一条件；非完全未接触任务的盲评</t>
        </is>
      </c>
    </row>
    <row r="23" ht="78" customHeight="1">
      <c r="A23" s="3" t="inlineStr">
        <is>
          <t>T-D-11</t>
        </is>
      </c>
      <c r="B23" s="3" t="inlineStr">
        <is>
          <t>SLOT-11</t>
        </is>
      </c>
      <c r="C23" s="3" t="inlineStr">
        <is>
          <t>B</t>
        </is>
      </c>
      <c r="D23" s="3" t="inlineStr">
        <is>
          <t>D</t>
        </is>
      </c>
      <c r="E23" s="3" t="inlineStr">
        <is>
          <t>HA</t>
        </is>
      </c>
      <c r="F23" s="3" t="inlineStr"/>
      <c r="G23" s="3" t="inlineStr">
        <is>
          <t>待填真实正式题ID；不是实际运行</t>
        </is>
      </c>
      <c r="H23" s="3" t="inlineStr">
        <is>
          <t>A</t>
        </is>
      </c>
      <c r="I23" s="3" t="inlineStr">
        <is>
          <t>C</t>
        </is>
      </c>
      <c r="J23" s="3" t="inlineStr">
        <is>
          <t>次评者已作答同题另一条件；非完全未接触任务的盲评</t>
        </is>
      </c>
    </row>
    <row r="24" ht="78" customHeight="1">
      <c r="A24" s="2" t="inlineStr">
        <is>
          <t>T-C-12</t>
        </is>
      </c>
      <c r="B24" s="2" t="inlineStr">
        <is>
          <t>SLOT-12</t>
        </is>
      </c>
      <c r="C24" s="2" t="inlineStr">
        <is>
          <t>B</t>
        </is>
      </c>
      <c r="D24" s="2" t="inlineStr">
        <is>
          <t>C</t>
        </is>
      </c>
      <c r="E24" s="2" t="inlineStr">
        <is>
          <t>HA</t>
        </is>
      </c>
      <c r="F24" s="2" t="inlineStr"/>
      <c r="G24" s="2" t="inlineStr">
        <is>
          <t>待填真实正式题ID；不是实际运行</t>
        </is>
      </c>
      <c r="H24" s="2" t="inlineStr">
        <is>
          <t>A</t>
        </is>
      </c>
      <c r="I24" s="2" t="inlineStr">
        <is>
          <t>D</t>
        </is>
      </c>
      <c r="J24" s="2" t="inlineStr">
        <is>
          <t>次评者已作答同题另一条件；非完全未接触任务的盲评</t>
        </is>
      </c>
    </row>
    <row r="25" ht="78" customHeight="1">
      <c r="A25" s="3" t="inlineStr">
        <is>
          <t>T-D-12</t>
        </is>
      </c>
      <c r="B25" s="3" t="inlineStr">
        <is>
          <t>SLOT-12</t>
        </is>
      </c>
      <c r="C25" s="3" t="inlineStr">
        <is>
          <t>B</t>
        </is>
      </c>
      <c r="D25" s="3" t="inlineStr">
        <is>
          <t>D</t>
        </is>
      </c>
      <c r="E25" s="3" t="inlineStr">
        <is>
          <t>H</t>
        </is>
      </c>
      <c r="F25" s="3" t="inlineStr"/>
      <c r="G25" s="3" t="inlineStr">
        <is>
          <t>待填真实正式题ID；不是实际运行</t>
        </is>
      </c>
      <c r="H25" s="3" t="inlineStr">
        <is>
          <t>A</t>
        </is>
      </c>
      <c r="I25" s="3" t="inlineStr">
        <is>
          <t>C</t>
        </is>
      </c>
      <c r="J25" s="3" t="inlineStr">
        <is>
          <t>次评者已作答同题另一条件；非完全未接触任务的盲评</t>
        </is>
      </c>
    </row>
    <row r="26" ht="78" customHeight="1">
      <c r="A26" s="2" t="inlineStr">
        <is>
          <t>T-C-13</t>
        </is>
      </c>
      <c r="B26" s="2" t="inlineStr">
        <is>
          <t>SLOT-13</t>
        </is>
      </c>
      <c r="C26" s="2" t="inlineStr">
        <is>
          <t>C</t>
        </is>
      </c>
      <c r="D26" s="2" t="inlineStr">
        <is>
          <t>C</t>
        </is>
      </c>
      <c r="E26" s="2" t="inlineStr">
        <is>
          <t>H</t>
        </is>
      </c>
      <c r="F26" s="2" t="inlineStr"/>
      <c r="G26" s="2" t="inlineStr">
        <is>
          <t>待填真实正式题ID；不是实际运行</t>
        </is>
      </c>
      <c r="H26" s="2" t="inlineStr">
        <is>
          <t>A</t>
        </is>
      </c>
      <c r="I26" s="2" t="inlineStr">
        <is>
          <t>D</t>
        </is>
      </c>
      <c r="J26" s="2" t="inlineStr">
        <is>
          <t>次评者已作答同题另一条件；非完全未接触任务的盲评</t>
        </is>
      </c>
    </row>
    <row r="27" ht="78" customHeight="1">
      <c r="A27" s="3" t="inlineStr">
        <is>
          <t>T-D-13</t>
        </is>
      </c>
      <c r="B27" s="3" t="inlineStr">
        <is>
          <t>SLOT-13</t>
        </is>
      </c>
      <c r="C27" s="3" t="inlineStr">
        <is>
          <t>C</t>
        </is>
      </c>
      <c r="D27" s="3" t="inlineStr">
        <is>
          <t>D</t>
        </is>
      </c>
      <c r="E27" s="3" t="inlineStr">
        <is>
          <t>HA</t>
        </is>
      </c>
      <c r="F27" s="3" t="inlineStr"/>
      <c r="G27" s="3" t="inlineStr">
        <is>
          <t>待填真实正式题ID；不是实际运行</t>
        </is>
      </c>
      <c r="H27" s="3" t="inlineStr">
        <is>
          <t>A</t>
        </is>
      </c>
      <c r="I27" s="3" t="inlineStr">
        <is>
          <t>C</t>
        </is>
      </c>
      <c r="J27" s="3" t="inlineStr">
        <is>
          <t>次评者已作答同题另一条件；非完全未接触任务的盲评</t>
        </is>
      </c>
    </row>
    <row r="28" ht="78" customHeight="1">
      <c r="A28" s="2" t="inlineStr">
        <is>
          <t>T-C-14</t>
        </is>
      </c>
      <c r="B28" s="2" t="inlineStr">
        <is>
          <t>SLOT-14</t>
        </is>
      </c>
      <c r="C28" s="2" t="inlineStr">
        <is>
          <t>C</t>
        </is>
      </c>
      <c r="D28" s="2" t="inlineStr">
        <is>
          <t>C</t>
        </is>
      </c>
      <c r="E28" s="2" t="inlineStr">
        <is>
          <t>HA</t>
        </is>
      </c>
      <c r="F28" s="2" t="inlineStr"/>
      <c r="G28" s="2" t="inlineStr">
        <is>
          <t>待填真实正式题ID；不是实际运行</t>
        </is>
      </c>
      <c r="H28" s="2" t="inlineStr">
        <is>
          <t>A</t>
        </is>
      </c>
      <c r="I28" s="2" t="inlineStr">
        <is>
          <t>D</t>
        </is>
      </c>
      <c r="J28" s="2" t="inlineStr">
        <is>
          <t>次评者已作答同题另一条件；非完全未接触任务的盲评</t>
        </is>
      </c>
    </row>
    <row r="29" ht="78" customHeight="1">
      <c r="A29" s="3" t="inlineStr">
        <is>
          <t>T-D-14</t>
        </is>
      </c>
      <c r="B29" s="3" t="inlineStr">
        <is>
          <t>SLOT-14</t>
        </is>
      </c>
      <c r="C29" s="3" t="inlineStr">
        <is>
          <t>C</t>
        </is>
      </c>
      <c r="D29" s="3" t="inlineStr">
        <is>
          <t>D</t>
        </is>
      </c>
      <c r="E29" s="3" t="inlineStr">
        <is>
          <t>H</t>
        </is>
      </c>
      <c r="F29" s="3" t="inlineStr"/>
      <c r="G29" s="3" t="inlineStr">
        <is>
          <t>待填真实正式题ID；不是实际运行</t>
        </is>
      </c>
      <c r="H29" s="3" t="inlineStr">
        <is>
          <t>A</t>
        </is>
      </c>
      <c r="I29" s="3" t="inlineStr">
        <is>
          <t>C</t>
        </is>
      </c>
      <c r="J29" s="3" t="inlineStr">
        <is>
          <t>次评者已作答同题另一条件；非完全未接触任务的盲评</t>
        </is>
      </c>
    </row>
    <row r="30" ht="78" customHeight="1">
      <c r="A30" s="2" t="inlineStr">
        <is>
          <t>T-C-15</t>
        </is>
      </c>
      <c r="B30" s="2" t="inlineStr">
        <is>
          <t>SLOT-15</t>
        </is>
      </c>
      <c r="C30" s="2" t="inlineStr">
        <is>
          <t>C</t>
        </is>
      </c>
      <c r="D30" s="2" t="inlineStr">
        <is>
          <t>C</t>
        </is>
      </c>
      <c r="E30" s="2" t="inlineStr">
        <is>
          <t>H</t>
        </is>
      </c>
      <c r="F30" s="2" t="inlineStr"/>
      <c r="G30" s="2" t="inlineStr">
        <is>
          <t>待填真实正式题ID；不是实际运行</t>
        </is>
      </c>
      <c r="H30" s="2" t="inlineStr">
        <is>
          <t>A</t>
        </is>
      </c>
      <c r="I30" s="2" t="inlineStr">
        <is>
          <t>D</t>
        </is>
      </c>
      <c r="J30" s="2" t="inlineStr">
        <is>
          <t>次评者已作答同题另一条件；非完全未接触任务的盲评</t>
        </is>
      </c>
    </row>
    <row r="31" ht="78" customHeight="1">
      <c r="A31" s="3" t="inlineStr">
        <is>
          <t>T-D-15</t>
        </is>
      </c>
      <c r="B31" s="3" t="inlineStr">
        <is>
          <t>SLOT-15</t>
        </is>
      </c>
      <c r="C31" s="3" t="inlineStr">
        <is>
          <t>C</t>
        </is>
      </c>
      <c r="D31" s="3" t="inlineStr">
        <is>
          <t>D</t>
        </is>
      </c>
      <c r="E31" s="3" t="inlineStr">
        <is>
          <t>HA</t>
        </is>
      </c>
      <c r="F31" s="3" t="inlineStr"/>
      <c r="G31" s="3" t="inlineStr">
        <is>
          <t>待填真实正式题ID；不是实际运行</t>
        </is>
      </c>
      <c r="H31" s="3" t="inlineStr">
        <is>
          <t>A</t>
        </is>
      </c>
      <c r="I31" s="3" t="inlineStr">
        <is>
          <t>C</t>
        </is>
      </c>
      <c r="J31" s="3" t="inlineStr">
        <is>
          <t>次评者已作答同题另一条件；非完全未接触任务的盲评</t>
        </is>
      </c>
    </row>
    <row r="32" ht="78" customHeight="1">
      <c r="A32" s="2" t="inlineStr">
        <is>
          <t>T-C-16</t>
        </is>
      </c>
      <c r="B32" s="2" t="inlineStr">
        <is>
          <t>SLOT-16</t>
        </is>
      </c>
      <c r="C32" s="2" t="inlineStr">
        <is>
          <t>C</t>
        </is>
      </c>
      <c r="D32" s="2" t="inlineStr">
        <is>
          <t>C</t>
        </is>
      </c>
      <c r="E32" s="2" t="inlineStr">
        <is>
          <t>HA</t>
        </is>
      </c>
      <c r="F32" s="2" t="inlineStr"/>
      <c r="G32" s="2" t="inlineStr">
        <is>
          <t>待填真实正式题ID；不是实际运行</t>
        </is>
      </c>
      <c r="H32" s="2" t="inlineStr">
        <is>
          <t>A</t>
        </is>
      </c>
      <c r="I32" s="2" t="inlineStr">
        <is>
          <t>D</t>
        </is>
      </c>
      <c r="J32" s="2" t="inlineStr">
        <is>
          <t>次评者已作答同题另一条件；非完全未接触任务的盲评</t>
        </is>
      </c>
    </row>
    <row r="33" ht="78" customHeight="1">
      <c r="A33" s="3" t="inlineStr">
        <is>
          <t>T-D-16</t>
        </is>
      </c>
      <c r="B33" s="3" t="inlineStr">
        <is>
          <t>SLOT-16</t>
        </is>
      </c>
      <c r="C33" s="3" t="inlineStr">
        <is>
          <t>C</t>
        </is>
      </c>
      <c r="D33" s="3" t="inlineStr">
        <is>
          <t>D</t>
        </is>
      </c>
      <c r="E33" s="3" t="inlineStr">
        <is>
          <t>H</t>
        </is>
      </c>
      <c r="F33" s="3" t="inlineStr"/>
      <c r="G33" s="3" t="inlineStr">
        <is>
          <t>待填真实正式题ID；不是实际运行</t>
        </is>
      </c>
      <c r="H33" s="3" t="inlineStr">
        <is>
          <t>A</t>
        </is>
      </c>
      <c r="I33" s="3" t="inlineStr">
        <is>
          <t>C</t>
        </is>
      </c>
      <c r="J33" s="3" t="inlineStr">
        <is>
          <t>次评者已作答同题另一条件；非完全未接触任务的盲评</t>
        </is>
      </c>
    </row>
    <row r="34" ht="78" customHeight="1">
      <c r="A34" s="2" t="inlineStr">
        <is>
          <t>T-C-17</t>
        </is>
      </c>
      <c r="B34" s="2" t="inlineStr">
        <is>
          <t>SLOT-17</t>
        </is>
      </c>
      <c r="C34" s="2" t="inlineStr">
        <is>
          <t>C</t>
        </is>
      </c>
      <c r="D34" s="2" t="inlineStr">
        <is>
          <t>C</t>
        </is>
      </c>
      <c r="E34" s="2" t="inlineStr">
        <is>
          <t>H</t>
        </is>
      </c>
      <c r="F34" s="2" t="inlineStr"/>
      <c r="G34" s="2" t="inlineStr">
        <is>
          <t>待填真实正式题ID；不是实际运行</t>
        </is>
      </c>
      <c r="H34" s="2" t="inlineStr">
        <is>
          <t>A</t>
        </is>
      </c>
      <c r="I34" s="2" t="inlineStr">
        <is>
          <t>D</t>
        </is>
      </c>
      <c r="J34" s="2" t="inlineStr">
        <is>
          <t>次评者已作答同题另一条件；非完全未接触任务的盲评</t>
        </is>
      </c>
    </row>
    <row r="35" ht="78" customHeight="1">
      <c r="A35" s="3" t="inlineStr">
        <is>
          <t>T-D-17</t>
        </is>
      </c>
      <c r="B35" s="3" t="inlineStr">
        <is>
          <t>SLOT-17</t>
        </is>
      </c>
      <c r="C35" s="3" t="inlineStr">
        <is>
          <t>C</t>
        </is>
      </c>
      <c r="D35" s="3" t="inlineStr">
        <is>
          <t>D</t>
        </is>
      </c>
      <c r="E35" s="3" t="inlineStr">
        <is>
          <t>HA</t>
        </is>
      </c>
      <c r="F35" s="3" t="inlineStr"/>
      <c r="G35" s="3" t="inlineStr">
        <is>
          <t>待填真实正式题ID；不是实际运行</t>
        </is>
      </c>
      <c r="H35" s="3" t="inlineStr">
        <is>
          <t>A</t>
        </is>
      </c>
      <c r="I35" s="3" t="inlineStr">
        <is>
          <t>C</t>
        </is>
      </c>
      <c r="J35" s="3" t="inlineStr">
        <is>
          <t>次评者已作答同题另一条件；非完全未接触任务的盲评</t>
        </is>
      </c>
    </row>
    <row r="36" ht="78" customHeight="1">
      <c r="A36" s="2" t="inlineStr">
        <is>
          <t>T-C-18</t>
        </is>
      </c>
      <c r="B36" s="2" t="inlineStr">
        <is>
          <t>SLOT-18</t>
        </is>
      </c>
      <c r="C36" s="2" t="inlineStr">
        <is>
          <t>C</t>
        </is>
      </c>
      <c r="D36" s="2" t="inlineStr">
        <is>
          <t>C</t>
        </is>
      </c>
      <c r="E36" s="2" t="inlineStr">
        <is>
          <t>HA</t>
        </is>
      </c>
      <c r="F36" s="2" t="inlineStr"/>
      <c r="G36" s="2" t="inlineStr">
        <is>
          <t>待填真实正式题ID；不是实际运行</t>
        </is>
      </c>
      <c r="H36" s="2" t="inlineStr">
        <is>
          <t>A</t>
        </is>
      </c>
      <c r="I36" s="2" t="inlineStr">
        <is>
          <t>D</t>
        </is>
      </c>
      <c r="J36" s="2" t="inlineStr">
        <is>
          <t>次评者已作答同题另一条件；非完全未接触任务的盲评</t>
        </is>
      </c>
    </row>
    <row r="37" ht="78" customHeight="1">
      <c r="A37" s="3" t="inlineStr">
        <is>
          <t>T-D-18</t>
        </is>
      </c>
      <c r="B37" s="3" t="inlineStr">
        <is>
          <t>SLOT-18</t>
        </is>
      </c>
      <c r="C37" s="3" t="inlineStr">
        <is>
          <t>C</t>
        </is>
      </c>
      <c r="D37" s="3" t="inlineStr">
        <is>
          <t>D</t>
        </is>
      </c>
      <c r="E37" s="3" t="inlineStr">
        <is>
          <t>H</t>
        </is>
      </c>
      <c r="F37" s="3" t="inlineStr"/>
      <c r="G37" s="3" t="inlineStr">
        <is>
          <t>待填真实正式题ID；不是实际运行</t>
        </is>
      </c>
      <c r="H37" s="3" t="inlineStr">
        <is>
          <t>A</t>
        </is>
      </c>
      <c r="I37" s="3" t="inlineStr">
        <is>
          <t>C</t>
        </is>
      </c>
      <c r="J37" s="3" t="inlineStr">
        <is>
          <t>次评者已作答同题另一条件；非完全未接触任务的盲评</t>
        </is>
      </c>
    </row>
    <row r="38" ht="78" customHeight="1">
      <c r="A38" s="2" t="inlineStr">
        <is>
          <t>T-C-19</t>
        </is>
      </c>
      <c r="B38" s="2" t="inlineStr">
        <is>
          <t>SLOT-19</t>
        </is>
      </c>
      <c r="C38" s="2" t="inlineStr">
        <is>
          <t>D</t>
        </is>
      </c>
      <c r="D38" s="2" t="inlineStr">
        <is>
          <t>C</t>
        </is>
      </c>
      <c r="E38" s="2" t="inlineStr">
        <is>
          <t>H</t>
        </is>
      </c>
      <c r="F38" s="2" t="inlineStr"/>
      <c r="G38" s="2" t="inlineStr">
        <is>
          <t>待填真实正式题ID；不是实际运行</t>
        </is>
      </c>
      <c r="H38" s="2" t="inlineStr">
        <is>
          <t>A</t>
        </is>
      </c>
      <c r="I38" s="2" t="inlineStr">
        <is>
          <t>D</t>
        </is>
      </c>
      <c r="J38" s="2" t="inlineStr">
        <is>
          <t>次评者已作答同题另一条件；非完全未接触任务的盲评</t>
        </is>
      </c>
    </row>
    <row r="39" ht="78" customHeight="1">
      <c r="A39" s="3" t="inlineStr">
        <is>
          <t>T-D-19</t>
        </is>
      </c>
      <c r="B39" s="3" t="inlineStr">
        <is>
          <t>SLOT-19</t>
        </is>
      </c>
      <c r="C39" s="3" t="inlineStr">
        <is>
          <t>D</t>
        </is>
      </c>
      <c r="D39" s="3" t="inlineStr">
        <is>
          <t>D</t>
        </is>
      </c>
      <c r="E39" s="3" t="inlineStr">
        <is>
          <t>HA</t>
        </is>
      </c>
      <c r="F39" s="3" t="inlineStr"/>
      <c r="G39" s="3" t="inlineStr">
        <is>
          <t>待填真实正式题ID；不是实际运行</t>
        </is>
      </c>
      <c r="H39" s="3" t="inlineStr">
        <is>
          <t>A</t>
        </is>
      </c>
      <c r="I39" s="3" t="inlineStr">
        <is>
          <t>C</t>
        </is>
      </c>
      <c r="J39" s="3" t="inlineStr">
        <is>
          <t>次评者已作答同题另一条件；非完全未接触任务的盲评</t>
        </is>
      </c>
    </row>
    <row r="40" ht="78" customHeight="1">
      <c r="A40" s="2" t="inlineStr">
        <is>
          <t>T-C-20</t>
        </is>
      </c>
      <c r="B40" s="2" t="inlineStr">
        <is>
          <t>SLOT-20</t>
        </is>
      </c>
      <c r="C40" s="2" t="inlineStr">
        <is>
          <t>D</t>
        </is>
      </c>
      <c r="D40" s="2" t="inlineStr">
        <is>
          <t>C</t>
        </is>
      </c>
      <c r="E40" s="2" t="inlineStr">
        <is>
          <t>HA</t>
        </is>
      </c>
      <c r="F40" s="2" t="inlineStr"/>
      <c r="G40" s="2" t="inlineStr">
        <is>
          <t>待填真实正式题ID；不是实际运行</t>
        </is>
      </c>
      <c r="H40" s="2" t="inlineStr">
        <is>
          <t>A</t>
        </is>
      </c>
      <c r="I40" s="2" t="inlineStr">
        <is>
          <t>D</t>
        </is>
      </c>
      <c r="J40" s="2" t="inlineStr">
        <is>
          <t>次评者已作答同题另一条件；非完全未接触任务的盲评</t>
        </is>
      </c>
    </row>
    <row r="41" ht="78" customHeight="1">
      <c r="A41" s="3" t="inlineStr">
        <is>
          <t>T-D-20</t>
        </is>
      </c>
      <c r="B41" s="3" t="inlineStr">
        <is>
          <t>SLOT-20</t>
        </is>
      </c>
      <c r="C41" s="3" t="inlineStr">
        <is>
          <t>D</t>
        </is>
      </c>
      <c r="D41" s="3" t="inlineStr">
        <is>
          <t>D</t>
        </is>
      </c>
      <c r="E41" s="3" t="inlineStr">
        <is>
          <t>H</t>
        </is>
      </c>
      <c r="F41" s="3" t="inlineStr"/>
      <c r="G41" s="3" t="inlineStr">
        <is>
          <t>待填真实正式题ID；不是实际运行</t>
        </is>
      </c>
      <c r="H41" s="3" t="inlineStr">
        <is>
          <t>A</t>
        </is>
      </c>
      <c r="I41" s="3" t="inlineStr">
        <is>
          <t>C</t>
        </is>
      </c>
      <c r="J41" s="3" t="inlineStr">
        <is>
          <t>次评者已作答同题另一条件；非完全未接触任务的盲评</t>
        </is>
      </c>
    </row>
    <row r="42" ht="78" customHeight="1">
      <c r="A42" s="2" t="inlineStr">
        <is>
          <t>T-C-21</t>
        </is>
      </c>
      <c r="B42" s="2" t="inlineStr">
        <is>
          <t>SLOT-21</t>
        </is>
      </c>
      <c r="C42" s="2" t="inlineStr">
        <is>
          <t>D</t>
        </is>
      </c>
      <c r="D42" s="2" t="inlineStr">
        <is>
          <t>C</t>
        </is>
      </c>
      <c r="E42" s="2" t="inlineStr">
        <is>
          <t>H</t>
        </is>
      </c>
      <c r="F42" s="2" t="inlineStr"/>
      <c r="G42" s="2" t="inlineStr">
        <is>
          <t>待填真实正式题ID；不是实际运行</t>
        </is>
      </c>
      <c r="H42" s="2" t="inlineStr">
        <is>
          <t>A</t>
        </is>
      </c>
      <c r="I42" s="2" t="inlineStr">
        <is>
          <t>D</t>
        </is>
      </c>
      <c r="J42" s="2" t="inlineStr">
        <is>
          <t>次评者已作答同题另一条件；非完全未接触任务的盲评</t>
        </is>
      </c>
    </row>
    <row r="43" ht="78" customHeight="1">
      <c r="A43" s="3" t="inlineStr">
        <is>
          <t>T-D-21</t>
        </is>
      </c>
      <c r="B43" s="3" t="inlineStr">
        <is>
          <t>SLOT-21</t>
        </is>
      </c>
      <c r="C43" s="3" t="inlineStr">
        <is>
          <t>D</t>
        </is>
      </c>
      <c r="D43" s="3" t="inlineStr">
        <is>
          <t>D</t>
        </is>
      </c>
      <c r="E43" s="3" t="inlineStr">
        <is>
          <t>HA</t>
        </is>
      </c>
      <c r="F43" s="3" t="inlineStr"/>
      <c r="G43" s="3" t="inlineStr">
        <is>
          <t>待填真实正式题ID；不是实际运行</t>
        </is>
      </c>
      <c r="H43" s="3" t="inlineStr">
        <is>
          <t>A</t>
        </is>
      </c>
      <c r="I43" s="3" t="inlineStr">
        <is>
          <t>C</t>
        </is>
      </c>
      <c r="J43" s="3" t="inlineStr">
        <is>
          <t>次评者已作答同题另一条件；非完全未接触任务的盲评</t>
        </is>
      </c>
    </row>
    <row r="44" ht="78" customHeight="1">
      <c r="A44" s="2" t="inlineStr">
        <is>
          <t>T-C-22</t>
        </is>
      </c>
      <c r="B44" s="2" t="inlineStr">
        <is>
          <t>SLOT-22</t>
        </is>
      </c>
      <c r="C44" s="2" t="inlineStr">
        <is>
          <t>D</t>
        </is>
      </c>
      <c r="D44" s="2" t="inlineStr">
        <is>
          <t>C</t>
        </is>
      </c>
      <c r="E44" s="2" t="inlineStr">
        <is>
          <t>HA</t>
        </is>
      </c>
      <c r="F44" s="2" t="inlineStr"/>
      <c r="G44" s="2" t="inlineStr">
        <is>
          <t>待填真实正式题ID；不是实际运行</t>
        </is>
      </c>
      <c r="H44" s="2" t="inlineStr">
        <is>
          <t>A</t>
        </is>
      </c>
      <c r="I44" s="2" t="inlineStr">
        <is>
          <t>D</t>
        </is>
      </c>
      <c r="J44" s="2" t="inlineStr">
        <is>
          <t>次评者已作答同题另一条件；非完全未接触任务的盲评</t>
        </is>
      </c>
    </row>
    <row r="45" ht="78" customHeight="1">
      <c r="A45" s="3" t="inlineStr">
        <is>
          <t>T-D-22</t>
        </is>
      </c>
      <c r="B45" s="3" t="inlineStr">
        <is>
          <t>SLOT-22</t>
        </is>
      </c>
      <c r="C45" s="3" t="inlineStr">
        <is>
          <t>D</t>
        </is>
      </c>
      <c r="D45" s="3" t="inlineStr">
        <is>
          <t>D</t>
        </is>
      </c>
      <c r="E45" s="3" t="inlineStr">
        <is>
          <t>H</t>
        </is>
      </c>
      <c r="F45" s="3" t="inlineStr"/>
      <c r="G45" s="3" t="inlineStr">
        <is>
          <t>待填真实正式题ID；不是实际运行</t>
        </is>
      </c>
      <c r="H45" s="3" t="inlineStr">
        <is>
          <t>A</t>
        </is>
      </c>
      <c r="I45" s="3" t="inlineStr">
        <is>
          <t>C</t>
        </is>
      </c>
      <c r="J45" s="3" t="inlineStr">
        <is>
          <t>次评者已作答同题另一条件；非完全未接触任务的盲评</t>
        </is>
      </c>
    </row>
    <row r="46" ht="78" customHeight="1">
      <c r="A46" s="2" t="inlineStr">
        <is>
          <t>T-C-23</t>
        </is>
      </c>
      <c r="B46" s="2" t="inlineStr">
        <is>
          <t>SLOT-23</t>
        </is>
      </c>
      <c r="C46" s="2" t="inlineStr">
        <is>
          <t>D</t>
        </is>
      </c>
      <c r="D46" s="2" t="inlineStr">
        <is>
          <t>C</t>
        </is>
      </c>
      <c r="E46" s="2" t="inlineStr">
        <is>
          <t>H</t>
        </is>
      </c>
      <c r="F46" s="2" t="inlineStr"/>
      <c r="G46" s="2" t="inlineStr">
        <is>
          <t>待填真实正式题ID；不是实际运行</t>
        </is>
      </c>
      <c r="H46" s="2" t="inlineStr">
        <is>
          <t>A</t>
        </is>
      </c>
      <c r="I46" s="2" t="inlineStr">
        <is>
          <t>D</t>
        </is>
      </c>
      <c r="J46" s="2" t="inlineStr">
        <is>
          <t>次评者已作答同题另一条件；非完全未接触任务的盲评</t>
        </is>
      </c>
    </row>
    <row r="47" ht="78" customHeight="1">
      <c r="A47" s="3" t="inlineStr">
        <is>
          <t>T-D-23</t>
        </is>
      </c>
      <c r="B47" s="3" t="inlineStr">
        <is>
          <t>SLOT-23</t>
        </is>
      </c>
      <c r="C47" s="3" t="inlineStr">
        <is>
          <t>D</t>
        </is>
      </c>
      <c r="D47" s="3" t="inlineStr">
        <is>
          <t>D</t>
        </is>
      </c>
      <c r="E47" s="3" t="inlineStr">
        <is>
          <t>HA</t>
        </is>
      </c>
      <c r="F47" s="3" t="inlineStr"/>
      <c r="G47" s="3" t="inlineStr">
        <is>
          <t>待填真实正式题ID；不是实际运行</t>
        </is>
      </c>
      <c r="H47" s="3" t="inlineStr">
        <is>
          <t>A</t>
        </is>
      </c>
      <c r="I47" s="3" t="inlineStr">
        <is>
          <t>C</t>
        </is>
      </c>
      <c r="J47" s="3" t="inlineStr">
        <is>
          <t>次评者已作答同题另一条件；非完全未接触任务的盲评</t>
        </is>
      </c>
    </row>
    <row r="48" ht="78" customHeight="1">
      <c r="A48" s="2" t="inlineStr">
        <is>
          <t>T-C-24</t>
        </is>
      </c>
      <c r="B48" s="2" t="inlineStr">
        <is>
          <t>SLOT-24</t>
        </is>
      </c>
      <c r="C48" s="2" t="inlineStr">
        <is>
          <t>D</t>
        </is>
      </c>
      <c r="D48" s="2" t="inlineStr">
        <is>
          <t>C</t>
        </is>
      </c>
      <c r="E48" s="2" t="inlineStr">
        <is>
          <t>HA</t>
        </is>
      </c>
      <c r="F48" s="2" t="inlineStr"/>
      <c r="G48" s="2" t="inlineStr">
        <is>
          <t>待填真实正式题ID；不是实际运行</t>
        </is>
      </c>
      <c r="H48" s="2" t="inlineStr">
        <is>
          <t>A</t>
        </is>
      </c>
      <c r="I48" s="2" t="inlineStr">
        <is>
          <t>D</t>
        </is>
      </c>
      <c r="J48" s="2" t="inlineStr">
        <is>
          <t>次评者已作答同题另一条件；非完全未接触任务的盲评</t>
        </is>
      </c>
    </row>
    <row r="49" ht="78" customHeight="1">
      <c r="A49" s="3" t="inlineStr">
        <is>
          <t>T-D-24</t>
        </is>
      </c>
      <c r="B49" s="3" t="inlineStr">
        <is>
          <t>SLOT-24</t>
        </is>
      </c>
      <c r="C49" s="3" t="inlineStr">
        <is>
          <t>D</t>
        </is>
      </c>
      <c r="D49" s="3" t="inlineStr">
        <is>
          <t>D</t>
        </is>
      </c>
      <c r="E49" s="3" t="inlineStr">
        <is>
          <t>H</t>
        </is>
      </c>
      <c r="F49" s="3" t="inlineStr"/>
      <c r="G49" s="3" t="inlineStr">
        <is>
          <t>待填真实正式题ID；不是实际运行</t>
        </is>
      </c>
      <c r="H49" s="3" t="inlineStr">
        <is>
          <t>A</t>
        </is>
      </c>
      <c r="I49" s="3" t="inlineStr">
        <is>
          <t>C</t>
        </is>
      </c>
      <c r="J49" s="3" t="inlineStr">
        <is>
          <t>次评者已作答同题另一条件；非完全未接触任务的盲评</t>
        </is>
      </c>
    </row>
  </sheetData>
  <autoFilter ref="A1:J49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4" customWidth="1" min="4" max="4"/>
    <col width="50" customWidth="1" min="5" max="5"/>
    <col width="26" customWidth="1" min="6" max="6"/>
  </cols>
  <sheetData>
    <row r="1" ht="34" customHeight="1">
      <c r="A1" s="1" t="inlineStr">
        <is>
          <t>计算</t>
        </is>
      </c>
      <c r="B1" s="1" t="inlineStr">
        <is>
          <t>基数2025或当期</t>
        </is>
      </c>
      <c r="C1" s="1" t="inlineStr">
        <is>
          <t>基数2024或对照</t>
        </is>
      </c>
      <c r="D1" s="1" t="inlineStr">
        <is>
          <t>比率或变化</t>
        </is>
      </c>
      <c r="E1" s="1" t="inlineStr">
        <is>
          <t>单位/公式解释</t>
        </is>
      </c>
      <c r="F1" s="1" t="inlineStr">
        <is>
          <t>关联题</t>
        </is>
      </c>
    </row>
    <row r="2" ht="78" customHeight="1">
      <c r="A2" s="2" t="inlineStr">
        <is>
          <t>苏泊尔炊具隐含均值2025</t>
        </is>
      </c>
      <c r="B2" s="2" t="n">
        <v>6965677978.67</v>
      </c>
      <c r="C2" s="2" t="n">
        <v>92664612</v>
      </c>
      <c r="D2" s="6">
        <f>B2/C2</f>
        <v>75.1708535580983</v>
      </c>
      <c r="E2" s="2" t="inlineStr">
        <is>
          <t>元/台或套；类别均值非同款售价</t>
        </is>
      </c>
      <c r="F2" s="2" t="inlineStr">
        <is>
          <t>P-A08</t>
        </is>
      </c>
    </row>
    <row r="3" ht="78" customHeight="1">
      <c r="A3" s="3" t="inlineStr">
        <is>
          <t>苏泊尔炊具隐含均值2024</t>
        </is>
      </c>
      <c r="B3" s="3" t="n">
        <v>6836158028.21</v>
      </c>
      <c r="C3" s="3" t="n">
        <v>85724597</v>
      </c>
      <c r="D3" s="7">
        <f>B3/C3</f>
        <v>79.7455837349693</v>
      </c>
      <c r="E3" s="3" t="inlineStr">
        <is>
          <t>元/台或套</t>
        </is>
      </c>
      <c r="F3" s="3" t="inlineStr">
        <is>
          <t>P-A08</t>
        </is>
      </c>
    </row>
    <row r="4" ht="78" customHeight="1">
      <c r="A4" s="2" t="inlineStr">
        <is>
          <t>隐含均值同比</t>
        </is>
      </c>
      <c r="B4" s="2" t="n"/>
      <c r="C4" s="2" t="n"/>
      <c r="D4" s="8">
        <f>D2/D3-1</f>
        <v>-0.0573665645495168</v>
      </c>
      <c r="E4" s="2" t="inlineStr">
        <is>
          <t>百分比</t>
        </is>
      </c>
      <c r="F4" s="2" t="inlineStr">
        <is>
          <t>P-A08</t>
        </is>
      </c>
    </row>
    <row r="5" ht="78" customHeight="1">
      <c r="A5" s="3" t="inlineStr">
        <is>
          <t>老板工程占比变化</t>
        </is>
      </c>
      <c r="B5" s="3" t="n">
        <v>0.1062</v>
      </c>
      <c r="C5" s="3" t="n">
        <v>0.1494</v>
      </c>
      <c r="D5" s="7">
        <f>(B5-C5)*100</f>
        <v>-4.32</v>
      </c>
      <c r="E5" s="3" t="inlineStr">
        <is>
          <t>百分点；不能等同B端变化</t>
        </is>
      </c>
      <c r="F5" s="3" t="inlineStr">
        <is>
          <t>P-A14</t>
        </is>
      </c>
    </row>
    <row r="6" ht="78" customHeight="1">
      <c r="A6" s="2" t="inlineStr">
        <is>
          <t>老板海外收入同比</t>
        </is>
      </c>
      <c r="B6" s="2" t="n">
        <v>86523510.34</v>
      </c>
      <c r="C6" s="2" t="n">
        <v>67006606.52</v>
      </c>
      <c r="D6" s="8">
        <f>B6/C6-1</f>
        <v>0.291268351489709</v>
      </c>
      <c r="E6" s="2" t="inlineStr">
        <is>
          <t>百分比</t>
        </is>
      </c>
      <c r="F6" s="2" t="inlineStr">
        <is>
          <t>P-A13</t>
        </is>
      </c>
    </row>
    <row r="7" ht="78" customHeight="1">
      <c r="A7" s="3" t="inlineStr">
        <is>
          <t>智动力归母改善</t>
        </is>
      </c>
      <c r="B7" s="3" t="n">
        <v>-134368593.65</v>
      </c>
      <c r="C7" s="3" t="n">
        <v>-154993929.21</v>
      </c>
      <c r="D7" s="7">
        <f>B7-C7</f>
        <v>20625335.56</v>
      </c>
      <c r="E7" s="3" t="inlineStr">
        <is>
          <t>元</t>
        </is>
      </c>
      <c r="F7" s="3" t="inlineStr">
        <is>
          <t>P-A01</t>
        </is>
      </c>
    </row>
    <row r="8" ht="78" customHeight="1">
      <c r="A8" s="2" t="inlineStr">
        <is>
          <t>智动力扣非变化</t>
        </is>
      </c>
      <c r="B8" s="2" t="n">
        <v>-148776056.68</v>
      </c>
      <c r="C8" s="2" t="n">
        <v>-145241722.9</v>
      </c>
      <c r="D8" s="6">
        <f>B8-C8</f>
        <v>-3534333.78</v>
      </c>
      <c r="E8" s="2" t="inlineStr">
        <is>
          <t>元</t>
        </is>
      </c>
      <c r="F8" s="2" t="inlineStr">
        <is>
          <t>P-A01</t>
        </is>
      </c>
    </row>
    <row r="9" ht="78" customHeight="1">
      <c r="A9" s="3" t="inlineStr">
        <is>
          <t>智动力非经常损益变化</t>
        </is>
      </c>
      <c r="B9" s="3" t="n">
        <v>14407463.03</v>
      </c>
      <c r="C9" s="3" t="n">
        <v>-9752206.310000001</v>
      </c>
      <c r="D9" s="7">
        <f>B9-C9</f>
        <v>24159669.34</v>
      </c>
      <c r="E9" s="3" t="inlineStr">
        <is>
          <t>元</t>
        </is>
      </c>
      <c r="F9" s="3" t="inlineStr">
        <is>
          <t>P-A01</t>
        </is>
      </c>
    </row>
    <row r="10" ht="78" customHeight="1">
      <c r="A10" s="2" t="inlineStr">
        <is>
          <t>分解恒等检验</t>
        </is>
      </c>
      <c r="B10" s="2" t="n"/>
      <c r="C10" s="2" t="n"/>
      <c r="D10" s="6">
        <f>D7-D8-D9</f>
        <v>0</v>
      </c>
      <c r="E10" s="2" t="inlineStr">
        <is>
          <t>应为0（浮点容差1分）</t>
        </is>
      </c>
      <c r="F10" s="2" t="inlineStr">
        <is>
          <t>P-A01</t>
        </is>
      </c>
    </row>
    <row r="11" ht="60" customHeight="1">
      <c r="A11" s="3" t="inlineStr">
        <is>
          <t>苏泊尔烹饪电器表间差</t>
        </is>
      </c>
      <c r="B11" s="3" t="n">
        <v>8728463967.629999</v>
      </c>
      <c r="C11" s="3" t="n">
        <v>8711169417.629999</v>
      </c>
      <c r="D11" s="3">
        <f>B11-C11</f>
        <v>17294550</v>
      </c>
      <c r="E11" s="3" t="inlineStr">
        <is>
          <t>元；第13页减第12页</t>
        </is>
      </c>
      <c r="F11" s="3" t="inlineStr">
        <is>
          <t>P-A06</t>
        </is>
      </c>
    </row>
    <row r="12" ht="60" customHeight="1">
      <c r="A12" s="3" t="inlineStr">
        <is>
          <t>苏泊尔食物料理表间差</t>
        </is>
      </c>
      <c r="B12" s="3" t="n">
        <v>3720773980.81</v>
      </c>
      <c r="C12" s="3" t="n">
        <v>3738068530.81</v>
      </c>
      <c r="D12" s="3">
        <f>B12-C12</f>
        <v>-17294550</v>
      </c>
      <c r="E12" s="3" t="inlineStr">
        <is>
          <t>元；第13页减第12页</t>
        </is>
      </c>
      <c r="F12" s="3" t="inlineStr">
        <is>
          <t>P-A06</t>
        </is>
      </c>
    </row>
    <row r="13" ht="60" customHeight="1">
      <c r="A13" s="3" t="inlineStr">
        <is>
          <t>两产品差额合计</t>
        </is>
      </c>
      <c r="B13" s="3" t="n"/>
      <c r="C13" s="3" t="n"/>
      <c r="D13" s="3">
        <f>D11+D12</f>
        <v>0</v>
      </c>
      <c r="E13" s="3" t="inlineStr">
        <is>
          <t>0不等于证明差异原因</t>
        </is>
      </c>
      <c r="F13" s="3" t="inlineStr">
        <is>
          <t>P-A06</t>
        </is>
      </c>
    </row>
    <row r="14">
      <c r="A14" s="3" t="inlineStr">
        <is>
          <t>智动力年度研发同比</t>
        </is>
      </c>
      <c r="B14" s="3" t="n">
        <v>96233291.27</v>
      </c>
      <c r="C14" s="3" t="n">
        <v>80338974.33</v>
      </c>
      <c r="D14" s="10">
        <f>B14/C14-1</f>
        <v>0.197840675370245</v>
      </c>
      <c r="E14" s="3" t="inlineStr">
        <is>
          <t>小数比例；年报25页</t>
        </is>
      </c>
      <c r="F14" s="3" t="inlineStr">
        <is>
          <t>P-A02</t>
        </is>
      </c>
    </row>
    <row r="15">
      <c r="A15" s="3" t="inlineStr">
        <is>
          <t>智动力一季度研发同比</t>
        </is>
      </c>
      <c r="B15" s="3" t="n">
        <v>24731531.93</v>
      </c>
      <c r="C15" s="3" t="n">
        <v>16910024.94</v>
      </c>
      <c r="D15" s="10">
        <f>B15/C15-1</f>
        <v>0.462536691563271</v>
      </c>
      <c r="E15" s="3" t="inlineStr">
        <is>
          <t>小数比例；一季报3页</t>
        </is>
      </c>
      <c r="F15" s="3" t="inlineStr">
        <is>
          <t>P-A02</t>
        </is>
      </c>
    </row>
    <row r="16">
      <c r="A16" s="3" t="inlineStr">
        <is>
          <t>智动力境外收入占比</t>
        </is>
      </c>
      <c r="B16" s="3" t="n">
        <v>353212851.24</v>
      </c>
      <c r="C16" s="3" t="n">
        <v>1591073573.72</v>
      </c>
      <c r="D16" s="10">
        <f>B16/C16</f>
        <v>0.221996554448562</v>
      </c>
      <c r="E16" s="3" t="inlineStr">
        <is>
          <t>小数比例；年报21页</t>
        </is>
      </c>
      <c r="F16" s="3" t="inlineStr">
        <is>
          <t>P-A03</t>
        </is>
      </c>
    </row>
    <row r="17">
      <c r="A17" s="3" t="inlineStr">
        <is>
          <t>智动力境外收入同比</t>
        </is>
      </c>
      <c r="B17" s="3" t="n">
        <v>353212851.24</v>
      </c>
      <c r="C17" s="3" t="n">
        <v>464828484.55</v>
      </c>
      <c r="D17" s="10">
        <f>B17/C17-1</f>
        <v>-0.240122189194268</v>
      </c>
      <c r="E17" s="3" t="inlineStr">
        <is>
          <t>小数比例；年报21页</t>
        </is>
      </c>
      <c r="F17" s="3" t="inlineStr">
        <is>
          <t>P-A03</t>
        </is>
      </c>
    </row>
    <row r="18">
      <c r="A18" s="3" t="inlineStr">
        <is>
          <t>非流动资产处置损益变化</t>
        </is>
      </c>
      <c r="B18" s="3" t="n">
        <v>373530.5</v>
      </c>
      <c r="C18" s="3" t="n">
        <v>-13101023.9</v>
      </c>
      <c r="D18" s="10">
        <f>B18-C18</f>
        <v>13474554.4</v>
      </c>
      <c r="E18" s="3" t="inlineStr">
        <is>
          <t>元；税前项目变动</t>
        </is>
      </c>
      <c r="F18" s="3" t="inlineStr">
        <is>
          <t>P-A01</t>
        </is>
      </c>
    </row>
    <row r="19">
      <c r="A19" s="3" t="inlineStr">
        <is>
          <t>委托投资/管理资产损益变化</t>
        </is>
      </c>
      <c r="B19" s="3" t="n">
        <v>13592454.83</v>
      </c>
      <c r="C19" s="3" t="n">
        <v>-1349460</v>
      </c>
      <c r="D19" s="10">
        <f>B19-C19</f>
        <v>14941914.83</v>
      </c>
      <c r="E19" s="3" t="inlineStr">
        <is>
          <t>元；税前项目变动</t>
        </is>
      </c>
      <c r="F19" s="3" t="inlineStr">
        <is>
          <t>P-A01</t>
        </is>
      </c>
    </row>
    <row r="20">
      <c r="A20" s="3" t="inlineStr">
        <is>
          <t>补流扣除利息手续费汇率等</t>
        </is>
      </c>
      <c r="B20" s="3" t="n">
        <v>324274902.04</v>
      </c>
      <c r="C20" s="3" t="n">
        <v>32917845.77</v>
      </c>
      <c r="D20" s="10">
        <f>B20-C20</f>
        <v>291357056.27</v>
      </c>
      <c r="E20" s="3" t="inlineStr">
        <is>
          <t>元；不是另一笔独立支出</t>
        </is>
      </c>
      <c r="F20" s="3" t="inlineStr">
        <is>
          <t>P-A05</t>
        </is>
      </c>
    </row>
    <row r="21">
      <c r="A21" s="3" t="inlineStr">
        <is>
          <t>前述差额折合万元</t>
        </is>
      </c>
      <c r="B21" s="3" t="n">
        <v>291357056.27</v>
      </c>
      <c r="C21" s="3" t="n">
        <v>10000</v>
      </c>
      <c r="D21" s="10">
        <f>B21/C21</f>
        <v>29135.705627</v>
      </c>
      <c r="E21" s="3" t="inlineStr">
        <is>
          <t>万元；保留两位为29135.71</t>
        </is>
      </c>
      <c r="F21" s="3" t="inlineStr">
        <is>
          <t>P-A05</t>
        </is>
      </c>
    </row>
  </sheetData>
  <autoFilter ref="A1:F10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18" customWidth="1" min="3" max="3"/>
    <col width="95" customWidth="1" min="4" max="4"/>
  </cols>
  <sheetData>
    <row r="1" ht="34" customHeight="1">
      <c r="A1" s="1" t="inlineStr">
        <is>
          <t>负责人</t>
        </is>
      </c>
      <c r="B1" s="1" t="inlineStr">
        <is>
          <t>现在要交什么</t>
        </is>
      </c>
      <c r="C1" s="1" t="inlineStr">
        <is>
          <t>交给谁</t>
        </is>
      </c>
      <c r="D1" s="1" t="inlineStr">
        <is>
          <t>验收/依赖</t>
        </is>
      </c>
    </row>
    <row r="2" ht="78" customHeight="1">
      <c r="A2" s="2" t="inlineStr">
        <is>
          <t>A＋助手</t>
        </is>
      </c>
      <c r="B2" s="2" t="inlineStr">
        <is>
          <t>8份PDF已归档；A复核5题；助手补11题时点及未决项</t>
        </is>
      </c>
      <c r="C2" s="2" t="inlineStr">
        <is>
          <t>C/D</t>
        </is>
      </c>
      <c r="D2" s="2" t="inlineStr">
        <is>
          <t>本轮先交2题无答案连通包；正式答案仍需对C/D隔离</t>
        </is>
      </c>
    </row>
    <row r="3" ht="78" customHeight="1">
      <c r="A3" s="3" t="inlineStr">
        <is>
          <t>C</t>
        </is>
      </c>
      <c r="B3" s="3" t="inlineStr">
        <is>
          <t>2模型×2流程连通测试、精确配置、Token与实付账、错误日志</t>
        </is>
      </c>
      <c r="C3" s="3" t="inlineStr">
        <is>
          <t>A/D</t>
        </is>
      </c>
      <c r="D3" s="3" t="inlineStr">
        <is>
          <t>可先用P-A07/08做8次接口与计费调试；两题不得用于模型排名或正式结论</t>
        </is>
      </c>
    </row>
    <row r="4" ht="78" customHeight="1">
      <c r="A4" s="2" t="inlineStr">
        <is>
          <t>D</t>
        </is>
      </c>
      <c r="B4" s="2" t="inlineStr">
        <is>
          <t>评分手册v1、对预实验题独立试评、争议项</t>
        </is>
      </c>
      <c r="C4" s="2" t="inlineStr">
        <is>
          <t>A/C</t>
        </is>
      </c>
      <c r="D4" s="2" t="inlineStr">
        <is>
          <t>不能靠先看答案达成表面一致；先独立判断再讨论；正式24题答案先不看</t>
        </is>
      </c>
    </row>
    <row r="5" ht="78" customHeight="1">
      <c r="A5" s="3" t="inlineStr">
        <is>
          <t>C＋D</t>
        </is>
      </c>
      <c r="B5" s="3" t="inlineStr">
        <is>
          <t>各24次人工任务；每人12H/12HA；不重复同题</t>
        </is>
      </c>
      <c r="C5" s="3" t="inlineStr">
        <is>
          <t>A</t>
        </is>
      </c>
      <c r="D5" s="3" t="inlineStr">
        <is>
          <t>10月22日已确认各24次；先完成人工任务，再接触正式草稿评分；实际题号与顺序待分层随机分配</t>
        </is>
      </c>
    </row>
    <row r="6" ht="78" customHeight="1">
      <c r="A6" s="2" t="inlineStr">
        <is>
          <t>A＋D</t>
        </is>
      </c>
      <c r="B6" s="2" t="inlineStr">
        <is>
          <t>320份AI最终回复独立评分</t>
        </is>
      </c>
      <c r="C6" s="2" t="inlineStr">
        <is>
          <t>C</t>
        </is>
      </c>
      <c r="D6" s="2" t="inlineStr">
        <is>
          <t>藏模型/流程标签及边界列表；原始分数保留；分歧双向复核</t>
        </is>
      </c>
    </row>
    <row r="7" ht="78" customHeight="1">
      <c r="A7" s="3" t="inlineStr">
        <is>
          <t>A主评；C/D交叉次评</t>
        </is>
      </c>
      <c r="B7" s="3" t="inlineStr">
        <is>
          <t>48个人工最终稿评分</t>
        </is>
      </c>
      <c r="C7" s="3" t="inlineStr">
        <is>
          <t>C</t>
        </is>
      </c>
      <c r="D7" s="3" t="inlineStr">
        <is>
          <t>不自评；次评者已处理过同题另一条件，必须披露限制</t>
        </is>
      </c>
    </row>
    <row r="8" ht="78" customHeight="1">
      <c r="A8" s="2" t="inlineStr">
        <is>
          <t>A</t>
        </is>
      </c>
      <c r="B8" s="2" t="inlineStr">
        <is>
          <t>比赛原始通知/官方链接、提交模板、封面信息核对</t>
        </is>
      </c>
      <c r="C8" s="2" t="inlineStr">
        <is>
          <t>全队</t>
        </is>
      </c>
      <c r="D8" s="2" t="inlineStr">
        <is>
          <t>目前10月29日22:00与邮箱来自既有方案；尚未核比赛原文</t>
        </is>
      </c>
    </row>
  </sheetData>
  <autoFilter ref="A1:D8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9" t="inlineStr">
        <is>
          <t>source_id</t>
        </is>
      </c>
      <c r="B1" s="9" t="inlineStr">
        <is>
          <t>filename</t>
        </is>
      </c>
      <c r="C1" s="9" t="inlineStr">
        <is>
          <t>title</t>
        </is>
      </c>
      <c r="D1" s="9" t="inlineStr">
        <is>
          <t>purpose</t>
        </is>
      </c>
      <c r="E1" s="9" t="inlineStr">
        <is>
          <t>disclosure_date</t>
        </is>
      </c>
      <c r="F1" s="9" t="inlineStr">
        <is>
          <t>date_note</t>
        </is>
      </c>
      <c r="G1" s="9" t="inlineStr">
        <is>
          <t>file_bytes</t>
        </is>
      </c>
      <c r="H1" s="9" t="inlineStr">
        <is>
          <t>pdf_pages</t>
        </is>
      </c>
      <c r="I1" s="9" t="inlineStr">
        <is>
          <t>original_sha256</t>
        </is>
      </c>
      <c r="J1" s="9" t="inlineStr">
        <is>
          <t>source_url</t>
        </is>
      </c>
      <c r="K1" s="9" t="inlineStr">
        <is>
          <t>local_archive_path</t>
        </is>
      </c>
      <c r="L1" s="9" t="inlineStr">
        <is>
          <t>archive_status</t>
        </is>
      </c>
      <c r="M1" s="9" t="inlineStr">
        <is>
          <t>reviewed_pages</t>
        </is>
      </c>
      <c r="N1" s="9" t="inlineStr">
        <is>
          <t>distribution_note</t>
        </is>
      </c>
      <c r="O1" s="9" t="inlineStr">
        <is>
          <t>review_date</t>
        </is>
      </c>
      <c r="P1" s="9" t="inlineStr">
        <is>
          <t>reviewer</t>
        </is>
      </c>
    </row>
    <row r="2" ht="75" customHeight="1">
      <c r="A2" s="3" t="inlineStr">
        <is>
          <t>LX_BUY</t>
        </is>
      </c>
      <c r="B2" s="3" t="inlineStr">
        <is>
          <t>11918323.pdf</t>
        </is>
      </c>
      <c r="C2" s="3" t="inlineStr">
        <is>
          <t>立讯精密2026-007回购报告书</t>
        </is>
      </c>
      <c r="D2" s="3" t="inlineStr">
        <is>
          <t>证据</t>
        </is>
      </c>
      <c r="E2" s="3" t="inlineStr">
        <is>
          <t>2026-01-16</t>
        </is>
      </c>
      <c r="F2" s="3" t="inlineStr">
        <is>
          <t>落款2026-01-15；披露日按此前已核公告页面2026-01-16</t>
        </is>
      </c>
      <c r="G2" s="3" t="n">
        <v>174643</v>
      </c>
      <c r="H2" s="3" t="n">
        <v>9</v>
      </c>
      <c r="I2" s="3" t="inlineStr">
        <is>
          <t>b900058e4cfa65a8adf0566f0ec6acbb18831991ce3171140301570c12b6e54f</t>
        </is>
      </c>
      <c r="J2" s="3" t="inlineStr">
        <is>
          <t>https://file.finance.sina.com.cn/211.154.219.97:9494/MRGG/CNSESZ_STOCK/2026/2026-1/2026-01-16/11918323.PDF</t>
        </is>
      </c>
      <c r="K2" s="3" t="inlineStr">
        <is>
          <t>/workspace/research_sources/investor_qa/2026-10-22/11918323.pdf</t>
        </is>
      </c>
      <c r="L2" s="3" t="inlineStr">
        <is>
          <t>用户上传原件已在工作区归档并核对SHA256</t>
        </is>
      </c>
      <c r="M2" s="3" t="inlineStr">
        <is>
          <t>1–3</t>
        </is>
      </c>
      <c r="N2" s="3" t="inlineStr">
        <is>
          <t>GitHub交付包含清单、哈希、原页文本摘录和苏泊尔4页PDF；此完整PDF不随GitHub包重复分发</t>
        </is>
      </c>
      <c r="O2" s="3" t="inlineStr">
        <is>
          <t>2026-10-22</t>
        </is>
      </c>
      <c r="P2" s="3" t="inlineStr">
        <is>
          <t>助手抽取与关键页视觉核对；尚不等于A/D独立双评</t>
        </is>
      </c>
    </row>
    <row r="3" ht="75" customHeight="1">
      <c r="A3" s="3" t="inlineStr">
        <is>
          <t>LB_Q</t>
        </is>
      </c>
      <c r="B3" s="3" t="inlineStr">
        <is>
          <t>12317681.pdf</t>
        </is>
      </c>
      <c r="C3" s="3" t="inlineStr">
        <is>
          <t>老板电器2026-001投资者关系活动记录</t>
        </is>
      </c>
      <c r="D3" s="3" t="inlineStr">
        <is>
          <t>仅题目来源；事后回复隔离</t>
        </is>
      </c>
      <c r="E3" s="3" t="inlineStr">
        <is>
          <t>2026-05-13</t>
        </is>
      </c>
      <c r="F3" s="3" t="inlineStr">
        <is>
          <t>活动日期2026-05-13；没有各题原始提交时间</t>
        </is>
      </c>
      <c r="G3" s="3" t="n">
        <v>150481</v>
      </c>
      <c r="H3" s="3" t="n">
        <v>4</v>
      </c>
      <c r="I3" s="3" t="inlineStr">
        <is>
          <t>c0715b6a8afbfa9f84aa9639094c31199dcfd6a37af6913361b50664527c6379</t>
        </is>
      </c>
      <c r="J3" s="3" t="inlineStr">
        <is>
          <t>https://file.finance.sina.com.cn/211.154.219.97:9494/MRGG/CNSESZ_STOCK/2026/2026-5/2026-05-13/12317681.PDF</t>
        </is>
      </c>
      <c r="K3" s="3" t="inlineStr">
        <is>
          <t>/workspace/research_sources/investor_qa/2026-10-22/12317681.pdf</t>
        </is>
      </c>
      <c r="L3" s="3" t="inlineStr">
        <is>
          <t>用户上传原件已在工作区归档并核对SHA256</t>
        </is>
      </c>
      <c r="M3" s="3" t="inlineStr">
        <is>
          <t>1–3</t>
        </is>
      </c>
      <c r="N3" s="3" t="inlineStr">
        <is>
          <t>GitHub交付包含清单、哈希、原页文本摘录和苏泊尔4页PDF；此完整PDF不随GitHub包重复分发</t>
        </is>
      </c>
      <c r="O3" s="3" t="inlineStr">
        <is>
          <t>2026-10-22</t>
        </is>
      </c>
      <c r="P3" s="3" t="inlineStr">
        <is>
          <t>助手抽取与关键页视觉核对；尚不等于A/D独立双评</t>
        </is>
      </c>
    </row>
    <row r="4" ht="75" customHeight="1">
      <c r="A4" s="3" t="inlineStr">
        <is>
          <t>LX_Q</t>
        </is>
      </c>
      <c r="B4" s="3" t="inlineStr">
        <is>
          <t>12300590.pdf</t>
        </is>
      </c>
      <c r="C4" s="3" t="inlineStr">
        <is>
          <t>立讯精密2026-002投资者关系活动记录</t>
        </is>
      </c>
      <c r="D4" s="3" t="inlineStr">
        <is>
          <t>仅题目来源；事后回复隔离</t>
        </is>
      </c>
      <c r="E4" s="3" t="inlineStr">
        <is>
          <t>2026-05-07</t>
        </is>
      </c>
      <c r="F4" s="3" t="inlineStr">
        <is>
          <t>活动及文件落款2026-05-06；此前公告页面披露2026-05-07；无各题原始时间</t>
        </is>
      </c>
      <c r="G4" s="3" t="n">
        <v>239606</v>
      </c>
      <c r="H4" s="3" t="n">
        <v>14</v>
      </c>
      <c r="I4" s="3" t="inlineStr">
        <is>
          <t>1dc51b5d149956bd867cb2bca6c0c25df5547d7599d1917aa9435e14c96a47b0</t>
        </is>
      </c>
      <c r="J4" s="3" t="inlineStr">
        <is>
          <t>https://file.finance.sina.com.cn/211.154.219.97:9494/MRGG/CNSESZ_STOCK/2026/2026-5/2026-05-07/12300590.PDF</t>
        </is>
      </c>
      <c r="K4" s="3" t="inlineStr">
        <is>
          <t>/workspace/research_sources/investor_qa/2026-10-22/12300590.pdf</t>
        </is>
      </c>
      <c r="L4" s="3" t="inlineStr">
        <is>
          <t>用户上传原件已在工作区归档并核对SHA256</t>
        </is>
      </c>
      <c r="M4" s="3" t="inlineStr">
        <is>
          <t>1、3、8、11、14</t>
        </is>
      </c>
      <c r="N4" s="3" t="inlineStr">
        <is>
          <t>GitHub交付包含清单、哈希、原页文本摘录和苏泊尔4页PDF；此完整PDF不随GitHub包重复分发</t>
        </is>
      </c>
      <c r="O4" s="3" t="inlineStr">
        <is>
          <t>2026-10-22</t>
        </is>
      </c>
      <c r="P4" s="3" t="inlineStr">
        <is>
          <t>助手抽取与关键页视觉核对；尚不等于A/D独立双评</t>
        </is>
      </c>
    </row>
    <row r="5" ht="75" customHeight="1">
      <c r="A5" s="3" t="inlineStr">
        <is>
          <t>ZD_Q1</t>
        </is>
      </c>
      <c r="B5" s="3" t="inlineStr">
        <is>
          <t>1225251431.pdf</t>
        </is>
      </c>
      <c r="C5" s="3" t="inlineStr">
        <is>
          <t>智动力2026年第一季度报告</t>
        </is>
      </c>
      <c r="D5" s="3" t="inlineStr">
        <is>
          <t>证据</t>
        </is>
      </c>
      <c r="E5" s="3" t="inlineStr">
        <is>
          <t>2026-04-29</t>
        </is>
      </c>
      <c r="F5" s="3" t="inlineStr">
        <is>
          <t>第13页落款2026-04-29；第14物理页无可提取文字</t>
        </is>
      </c>
      <c r="G5" s="3" t="n">
        <v>915511</v>
      </c>
      <c r="H5" s="3" t="n">
        <v>14</v>
      </c>
      <c r="I5" s="3" t="inlineStr">
        <is>
          <t>61c426404e84961f66043c0a0dc51efb7fe3ea004487d2e30d838482b295a85c</t>
        </is>
      </c>
      <c r="J5" s="3" t="inlineStr">
        <is>
          <t>https://static.cninfo.com.cn/finalpage/2026-04-29/1225251431.PDF</t>
        </is>
      </c>
      <c r="K5" s="3" t="inlineStr">
        <is>
          <t>/workspace/research_sources/investor_qa/2026-10-22/1225251431.pdf</t>
        </is>
      </c>
      <c r="L5" s="3" t="inlineStr">
        <is>
          <t>用户上传原件已在工作区归档并核对SHA256</t>
        </is>
      </c>
      <c r="M5" s="3" t="inlineStr">
        <is>
          <t>3</t>
        </is>
      </c>
      <c r="N5" s="3" t="inlineStr">
        <is>
          <t>GitHub交付包含清单、哈希、原页文本摘录和苏泊尔4页PDF；此完整PDF不随GitHub包重复分发</t>
        </is>
      </c>
      <c r="O5" s="3" t="inlineStr">
        <is>
          <t>2026-10-22</t>
        </is>
      </c>
      <c r="P5" s="3" t="inlineStr">
        <is>
          <t>助手抽取与关键页视觉核对；尚不等于A/D独立双评</t>
        </is>
      </c>
    </row>
    <row r="6" ht="75" customHeight="1">
      <c r="A6" s="3" t="inlineStr">
        <is>
          <t>LB_AR</t>
        </is>
      </c>
      <c r="B6" s="3" t="inlineStr">
        <is>
          <t>1225237757.pdf</t>
        </is>
      </c>
      <c r="C6" s="3" t="inlineStr">
        <is>
          <t>老板电器2025年年度报告</t>
        </is>
      </c>
      <c r="D6" s="3" t="inlineStr">
        <is>
          <t>证据</t>
        </is>
      </c>
      <c r="E6" s="3" t="inlineStr">
        <is>
          <t>2026-04-29</t>
        </is>
      </c>
      <c r="F6" s="3" t="inlineStr">
        <is>
          <t>封面仅2026年4月；披露日沿用此前官方路径及页面核对</t>
        </is>
      </c>
      <c r="G6" s="3" t="n">
        <v>1097971</v>
      </c>
      <c r="H6" s="3" t="n">
        <v>162</v>
      </c>
      <c r="I6" s="3" t="inlineStr">
        <is>
          <t>c347927027a30eac0df0ed695f6e5c005a9dd2af8d8337408f7850f310bec6e6</t>
        </is>
      </c>
      <c r="J6" s="3" t="inlineStr">
        <is>
          <t>https://static.cninfo.com.cn/finalpage/2026-04-29/1225237757.PDF</t>
        </is>
      </c>
      <c r="K6" s="3" t="inlineStr">
        <is>
          <t>/workspace/research_sources/investor_qa/2026-10-22/1225237757.pdf</t>
        </is>
      </c>
      <c r="L6" s="3" t="inlineStr">
        <is>
          <t>用户上传原件已在工作区归档并核对SHA256</t>
        </is>
      </c>
      <c r="M6" s="3" t="inlineStr">
        <is>
          <t>12–17</t>
        </is>
      </c>
      <c r="N6" s="3" t="inlineStr">
        <is>
          <t>GitHub交付包含清单、哈希、原页文本摘录和苏泊尔4页PDF；此完整PDF不随GitHub包重复分发</t>
        </is>
      </c>
      <c r="O6" s="3" t="inlineStr">
        <is>
          <t>2026-10-22</t>
        </is>
      </c>
      <c r="P6" s="3" t="inlineStr">
        <is>
          <t>助手抽取与关键页视觉核对；尚不等于A/D独立双评</t>
        </is>
      </c>
    </row>
    <row r="7" ht="75" customHeight="1">
      <c r="A7" s="3" t="inlineStr">
        <is>
          <t>SP_AR</t>
        </is>
      </c>
      <c r="B7" s="3" t="inlineStr">
        <is>
          <t>1225076804.pdf</t>
        </is>
      </c>
      <c r="C7" s="3" t="inlineStr">
        <is>
          <t>苏泊尔2025年年度报告</t>
        </is>
      </c>
      <c r="D7" s="3" t="inlineStr">
        <is>
          <t>证据</t>
        </is>
      </c>
      <c r="E7" s="3" t="inlineStr">
        <is>
          <t>2026-04-03</t>
        </is>
      </c>
      <c r="F7" s="3" t="inlineStr">
        <is>
          <t>封面2026-04-03；第12与13页产品表差异经视觉核实</t>
        </is>
      </c>
      <c r="G7" s="3" t="n">
        <v>4332065</v>
      </c>
      <c r="H7" s="3" t="n">
        <v>162</v>
      </c>
      <c r="I7" s="3" t="inlineStr">
        <is>
          <t>d323425e24b34f7cfa8fbff819cdd1b0daa47a5bd331da6d27c9f956478a6a7b</t>
        </is>
      </c>
      <c r="J7" s="3" t="inlineStr">
        <is>
          <t>https://static.cninfo.com.cn/finalpage/2026-04-03/1225076804.PDF</t>
        </is>
      </c>
      <c r="K7" s="3" t="inlineStr">
        <is>
          <t>/workspace/research_sources/investor_qa/2026-10-22/1225076804.pdf</t>
        </is>
      </c>
      <c r="L7" s="3" t="inlineStr">
        <is>
          <t>用户上传原件已在工作区归档并核对SHA256</t>
        </is>
      </c>
      <c r="M7" s="3" t="inlineStr">
        <is>
          <t>10–14、16</t>
        </is>
      </c>
      <c r="N7" s="3" t="inlineStr">
        <is>
          <t>GitHub交付包含清单、哈希、原页文本摘录和苏泊尔4页PDF；此完整PDF不随GitHub包重复分发</t>
        </is>
      </c>
      <c r="O7" s="3" t="inlineStr">
        <is>
          <t>2026-10-22</t>
        </is>
      </c>
      <c r="P7" s="3" t="inlineStr">
        <is>
          <t>助手抽取与关键页视觉核对；尚不等于A/D独立双评</t>
        </is>
      </c>
    </row>
    <row r="8" ht="75" customHeight="1">
      <c r="A8" s="3" t="inlineStr">
        <is>
          <t>LX_AR</t>
        </is>
      </c>
      <c r="B8" s="3" t="inlineStr">
        <is>
          <t>1225104908.pdf</t>
        </is>
      </c>
      <c r="C8" s="3" t="inlineStr">
        <is>
          <t>立讯精密2025年年度报告</t>
        </is>
      </c>
      <c r="D8" s="3" t="inlineStr">
        <is>
          <t>证据</t>
        </is>
      </c>
      <c r="E8" s="3" t="inlineStr">
        <is>
          <t>2026-04-15</t>
        </is>
      </c>
      <c r="F8" s="3" t="inlineStr">
        <is>
          <t>封面2026年4月、2026-029；披露日沿用此前官方路径及页面核对</t>
        </is>
      </c>
      <c r="G8" s="3" t="n">
        <v>5000312</v>
      </c>
      <c r="H8" s="3" t="n">
        <v>309</v>
      </c>
      <c r="I8" s="3" t="inlineStr">
        <is>
          <t>957556c331a237cc3235b63659e884c7e1e877b6460f06d5039159f1598e4e46</t>
        </is>
      </c>
      <c r="J8" s="3" t="inlineStr">
        <is>
          <t>https://static.cninfo.com.cn/finalpage/2026-04-15/1225104908.PDF</t>
        </is>
      </c>
      <c r="K8" s="3" t="inlineStr">
        <is>
          <t>/workspace/research_sources/investor_qa/2026-10-22/1225104908.pdf</t>
        </is>
      </c>
      <c r="L8" s="3" t="inlineStr">
        <is>
          <t>用户上传原件已在工作区归档并核对SHA256</t>
        </is>
      </c>
      <c r="M8" s="3" t="inlineStr">
        <is>
          <t>15–16、94</t>
        </is>
      </c>
      <c r="N8" s="3" t="inlineStr">
        <is>
          <t>GitHub交付包含清单、哈希、原页文本摘录和苏泊尔4页PDF；此完整PDF不随GitHub包重复分发</t>
        </is>
      </c>
      <c r="O8" s="3" t="inlineStr">
        <is>
          <t>2026-10-22</t>
        </is>
      </c>
      <c r="P8" s="3" t="inlineStr">
        <is>
          <t>助手抽取与关键页视觉核对；尚不等于A/D独立双评</t>
        </is>
      </c>
    </row>
    <row r="9">
      <c r="A9" t="inlineStr">
        <is>
          <t>ZD_AR</t>
        </is>
      </c>
      <c r="B9" t="inlineStr">
        <is>
          <t>1225251420.pdf</t>
        </is>
      </c>
      <c r="C9" t="inlineStr">
        <is>
          <t>智动力2025年年度报告全文（2026-009）</t>
        </is>
      </c>
      <c r="D9" t="inlineStr">
        <is>
          <t>证据</t>
        </is>
      </c>
      <c r="E9" t="inlineStr">
        <is>
          <t>2026-04-29</t>
        </is>
      </c>
      <c r="F9" t="inlineStr">
        <is>
          <t>披露日沿用此前已核巨潮公告；年报封面2026年4月；本次收件2026-10-23</t>
        </is>
      </c>
      <c r="G9" t="n">
        <v>2771755</v>
      </c>
      <c r="H9" t="n">
        <v>205</v>
      </c>
      <c r="I9" t="inlineStr">
        <is>
          <t>05f2846b321d45cdf6ff0f79d67b5dd32a83c1a44622f55e4b4a37079f772155</t>
        </is>
      </c>
      <c r="J9" t="inlineStr">
        <is>
          <t>https://static.cninfo.com.cn/finalpage/2026-04-29/1225251420.PDF</t>
        </is>
      </c>
      <c r="K9" t="inlineStr">
        <is>
          <t>/workspace/research_sources/investor_qa/2026-10-23/1225251420.pdf</t>
        </is>
      </c>
      <c r="L9" t="inlineStr">
        <is>
          <t>用户上传原件已在工作区按原字节归档</t>
        </is>
      </c>
      <c r="M9" t="inlineStr">
        <is>
          <t>2、8、10、12–13、21、25–26、31–33、62、64–66；其中8、10、13、21、25、26、62、65、66页另做视觉核对</t>
        </is>
      </c>
      <c r="N9" t="inlineStr">
        <is>
          <t>GitHub交付15页年报选编及一季报1页、文本与哈希；完整205页原件存工作区</t>
        </is>
      </c>
      <c r="O9" t="inlineStr">
        <is>
          <t>2026-10-23</t>
        </is>
      </c>
      <c r="P9" t="inlineStr">
        <is>
          <t>助手核读；不计作A/D已完成人工复核</t>
        </is>
      </c>
    </row>
  </sheetData>
  <autoFilter ref="A1:P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9" t="inlineStr">
        <is>
          <t>page_id</t>
        </is>
      </c>
      <c r="B1" s="9" t="inlineStr">
        <is>
          <t>核对字段</t>
        </is>
      </c>
      <c r="C1" s="9" t="inlineStr">
        <is>
          <t>结果</t>
        </is>
      </c>
      <c r="D1" s="9" t="inlineStr">
        <is>
          <t>方式</t>
        </is>
      </c>
    </row>
    <row r="2" ht="75" customHeight="1">
      <c r="A2" s="3" t="inlineStr">
        <is>
          <t>ZD_Q1_p003</t>
        </is>
      </c>
      <c r="B2" s="3" t="inlineStr">
        <is>
          <t>24,731,531.93；16,910,024.94；46.25%</t>
        </is>
      </c>
      <c r="C2" s="3" t="inlineStr">
        <is>
          <t>与上传原页文本一致</t>
        </is>
      </c>
      <c r="D2" s="3" t="inlineStr">
        <is>
          <t>关键页另经视觉核对；其他页为文本逐项核对</t>
        </is>
      </c>
    </row>
    <row r="3" ht="75" customHeight="1">
      <c r="A3" s="3" t="inlineStr">
        <is>
          <t>SP_AR_p012</t>
        </is>
      </c>
      <c r="B3" s="3" t="inlineStr">
        <is>
          <t>6,965,677,978.67；6,836,158,028.21；8,711,169,417.63；3,738,068,530.81；-1.64%</t>
        </is>
      </c>
      <c r="C3" s="3" t="inlineStr">
        <is>
          <t>与上传原页文本一致</t>
        </is>
      </c>
      <c r="D3" s="3" t="inlineStr">
        <is>
          <t>关键页另经视觉核对；其他页为文本逐项核对</t>
        </is>
      </c>
    </row>
    <row r="4" ht="75" customHeight="1">
      <c r="A4" s="3" t="inlineStr">
        <is>
          <t>SP_AR_p013</t>
        </is>
      </c>
      <c r="B4" s="3" t="inlineStr">
        <is>
          <t>8,728,463,967.63；3,720,773,980.81；-2.10%</t>
        </is>
      </c>
      <c r="C4" s="3" t="inlineStr">
        <is>
          <t>与上传原页文本一致</t>
        </is>
      </c>
      <c r="D4" s="3" t="inlineStr">
        <is>
          <t>关键页另经视觉核对；其他页为文本逐项核对</t>
        </is>
      </c>
    </row>
    <row r="5" ht="75" customHeight="1">
      <c r="A5" s="3" t="inlineStr">
        <is>
          <t>SP_AR_p014</t>
        </is>
      </c>
      <c r="B5" s="3" t="inlineStr">
        <is>
          <t>92,664,612；85,724,597；8.10%</t>
        </is>
      </c>
      <c r="C5" s="3" t="inlineStr">
        <is>
          <t>与上传原页文本一致</t>
        </is>
      </c>
      <c r="D5" s="3" t="inlineStr">
        <is>
          <t>关键页另经视觉核对；其他页为文本逐项核对</t>
        </is>
      </c>
    </row>
    <row r="6" ht="75" customHeight="1">
      <c r="A6" s="3" t="inlineStr">
        <is>
          <t>SP_AR_p016</t>
        </is>
      </c>
      <c r="B6" s="3" t="inlineStr">
        <is>
          <t>475,923,455.10；469,662,999.96；2.09%</t>
        </is>
      </c>
      <c r="C6" s="3" t="inlineStr">
        <is>
          <t>与上传原页文本一致</t>
        </is>
      </c>
      <c r="D6" s="3" t="inlineStr">
        <is>
          <t>关键页另经视觉核对；其他页为文本逐项核对</t>
        </is>
      </c>
    </row>
    <row r="7" ht="75" customHeight="1">
      <c r="A7" s="3" t="inlineStr">
        <is>
          <t>LB_AR_p012</t>
        </is>
      </c>
      <c r="B7" s="3" t="inlineStr">
        <is>
          <t>1,577；31.42%；31.56%</t>
        </is>
      </c>
      <c r="C7" s="3" t="inlineStr">
        <is>
          <t>与上传原页文本一致</t>
        </is>
      </c>
      <c r="D7" s="3" t="inlineStr">
        <is>
          <t>关键页另经视觉核对；其他页为文本逐项核对</t>
        </is>
      </c>
    </row>
    <row r="8" ht="75" customHeight="1">
      <c r="A8" s="3" t="inlineStr">
        <is>
          <t>LB_AR_p014</t>
        </is>
      </c>
      <c r="B8" s="3" t="inlineStr">
        <is>
          <t>86,523,510.34；67,006,606.52；1,074,797,193.30；1,675,133,692.61；10.62%；14.94%</t>
        </is>
      </c>
      <c r="C8" s="3" t="inlineStr">
        <is>
          <t>与上传原页文本一致</t>
        </is>
      </c>
      <c r="D8" s="3" t="inlineStr">
        <is>
          <t>关键页另经视觉核对；其他页为文本逐项核对</t>
        </is>
      </c>
    </row>
    <row r="9" ht="75" customHeight="1">
      <c r="A9" s="3" t="inlineStr">
        <is>
          <t>LB_AR_p015</t>
        </is>
      </c>
      <c r="B9" s="3" t="inlineStr">
        <is>
          <t>尚未开始运营</t>
        </is>
      </c>
      <c r="C9" s="3" t="inlineStr">
        <is>
          <t>与上传原页文本一致</t>
        </is>
      </c>
      <c r="D9" s="3" t="inlineStr">
        <is>
          <t>关键页另经视觉核对；其他页为文本逐项核对</t>
        </is>
      </c>
    </row>
    <row r="10" ht="75" customHeight="1">
      <c r="A10" s="3" t="inlineStr">
        <is>
          <t>LB_AR_p017</t>
        </is>
      </c>
      <c r="B10" s="3" t="inlineStr">
        <is>
          <t>367,949,907.26；413,659,448.81；3.64%</t>
        </is>
      </c>
      <c r="C10" s="3" t="inlineStr">
        <is>
          <t>与上传原页文本一致</t>
        </is>
      </c>
      <c r="D10" s="3" t="inlineStr">
        <is>
          <t>关键页另经视觉核对；其他页为文本逐项核对</t>
        </is>
      </c>
    </row>
    <row r="11" ht="75" customHeight="1">
      <c r="A11" s="3" t="inlineStr">
        <is>
          <t>LX_AR_p094</t>
        </is>
      </c>
      <c r="B11" s="3" t="inlineStr">
        <is>
          <t>420,923；568,170</t>
        </is>
      </c>
      <c r="C11" s="3" t="inlineStr">
        <is>
          <t>与上传原页文本一致</t>
        </is>
      </c>
      <c r="D11" s="3" t="inlineStr">
        <is>
          <t>关键页另经视觉核对；其他页为文本逐项核对</t>
        </is>
      </c>
    </row>
    <row r="12" ht="75" customHeight="1">
      <c r="A12" s="3" t="inlineStr">
        <is>
          <t>LX_BUY_p001</t>
        </is>
      </c>
      <c r="B12" s="3" t="inlineStr">
        <is>
          <t>100,000；200,000；员工持股计划或股权激励</t>
        </is>
      </c>
      <c r="C12" s="3" t="inlineStr">
        <is>
          <t>与上传原页文本一致</t>
        </is>
      </c>
      <c r="D12" s="3" t="inlineStr">
        <is>
          <t>关键页另经视觉核对；其他页为文本逐项核对</t>
        </is>
      </c>
    </row>
    <row r="13" ht="75" customHeight="1">
      <c r="A13" s="3" t="inlineStr">
        <is>
          <t>LX_BUY_p002</t>
        </is>
      </c>
      <c r="B13" s="3" t="inlineStr">
        <is>
          <t>存在已回购未授出股份被注销的风险</t>
        </is>
      </c>
      <c r="C13" s="3" t="inlineStr">
        <is>
          <t>与上传原页文本一致</t>
        </is>
      </c>
      <c r="D13" s="3" t="inlineStr">
        <is>
          <t>关键页另经视觉核对；其他页为文本逐项核对</t>
        </is>
      </c>
    </row>
    <row r="14" ht="45" customHeight="1">
      <c r="A14" s="3" t="inlineStr">
        <is>
          <t>ZD_AR_p002</t>
        </is>
      </c>
      <c r="B14" s="3" t="inlineStr">
        <is>
          <t>对应事实卡：E08</t>
        </is>
      </c>
      <c r="C14" s="3" t="inlineStr">
        <is>
          <t>原页已核读；A/D人工独立核对待完成</t>
        </is>
      </c>
      <c r="D14" s="3" t="inlineStr">
        <is>
          <t>原页文本核读</t>
        </is>
      </c>
    </row>
    <row r="15" ht="45" customHeight="1">
      <c r="A15" s="3" t="inlineStr">
        <is>
          <t>ZD_AR_p008</t>
        </is>
      </c>
      <c r="B15" s="3" t="inlineStr">
        <is>
          <t>对应事实卡：E01</t>
        </is>
      </c>
      <c r="C15" s="3" t="inlineStr">
        <is>
          <t>原页已核读；A/D人工独立核对待完成</t>
        </is>
      </c>
      <c r="D15" s="3" t="inlineStr">
        <is>
          <t>文本及原页视觉核对</t>
        </is>
      </c>
    </row>
    <row r="16" ht="45" customHeight="1">
      <c r="A16" s="3" t="inlineStr">
        <is>
          <t>ZD_AR_p010</t>
        </is>
      </c>
      <c r="B16" s="3" t="inlineStr">
        <is>
          <t>对应事实卡：E01</t>
        </is>
      </c>
      <c r="C16" s="3" t="inlineStr">
        <is>
          <t>原页已核读；A/D人工独立核对待完成</t>
        </is>
      </c>
      <c r="D16" s="3" t="inlineStr">
        <is>
          <t>文本及原页视觉核对</t>
        </is>
      </c>
    </row>
    <row r="17" ht="45" customHeight="1">
      <c r="A17" s="3" t="inlineStr">
        <is>
          <t>ZD_AR_p012</t>
        </is>
      </c>
      <c r="B17" s="3" t="inlineStr">
        <is>
          <t>对应事实卡：E06</t>
        </is>
      </c>
      <c r="C17" s="3" t="inlineStr">
        <is>
          <t>原页已核读；A/D人工独立核对待完成</t>
        </is>
      </c>
      <c r="D17" s="3" t="inlineStr">
        <is>
          <t>原页文本核读</t>
        </is>
      </c>
    </row>
    <row r="18" ht="45" customHeight="1">
      <c r="A18" s="3" t="inlineStr">
        <is>
          <t>ZD_AR_p013</t>
        </is>
      </c>
      <c r="B18" s="3" t="inlineStr">
        <is>
          <t>对应事实卡：E06</t>
        </is>
      </c>
      <c r="C18" s="3" t="inlineStr">
        <is>
          <t>原页已核读；A/D人工独立核对待完成</t>
        </is>
      </c>
      <c r="D18" s="3" t="inlineStr">
        <is>
          <t>文本及原页视觉核对</t>
        </is>
      </c>
    </row>
    <row r="19" ht="45" customHeight="1">
      <c r="A19" s="3" t="inlineStr">
        <is>
          <t>ZD_AR_p021</t>
        </is>
      </c>
      <c r="B19" s="3" t="inlineStr">
        <is>
          <t>对应事实卡：E04</t>
        </is>
      </c>
      <c r="C19" s="3" t="inlineStr">
        <is>
          <t>原页已核读；A/D人工独立核对待完成</t>
        </is>
      </c>
      <c r="D19" s="3" t="inlineStr">
        <is>
          <t>文本及原页视觉核对</t>
        </is>
      </c>
    </row>
    <row r="20" ht="45" customHeight="1">
      <c r="A20" s="3" t="inlineStr">
        <is>
          <t>ZD_AR_p025</t>
        </is>
      </c>
      <c r="B20" s="3" t="inlineStr">
        <is>
          <t>对应事实卡：E02</t>
        </is>
      </c>
      <c r="C20" s="3" t="inlineStr">
        <is>
          <t>原页已核读；A/D人工独立核对待完成</t>
        </is>
      </c>
      <c r="D20" s="3" t="inlineStr">
        <is>
          <t>文本及原页视觉核对</t>
        </is>
      </c>
    </row>
    <row r="21" ht="45" customHeight="1">
      <c r="A21" s="3" t="inlineStr">
        <is>
          <t>ZD_AR_p026</t>
        </is>
      </c>
      <c r="B21" s="3" t="inlineStr">
        <is>
          <t>对应事实卡：E02</t>
        </is>
      </c>
      <c r="C21" s="3" t="inlineStr">
        <is>
          <t>原页已核读；A/D人工独立核对待完成</t>
        </is>
      </c>
      <c r="D21" s="3" t="inlineStr">
        <is>
          <t>文本及原页视觉核对</t>
        </is>
      </c>
    </row>
    <row r="22" ht="45" customHeight="1">
      <c r="A22" s="3" t="inlineStr">
        <is>
          <t>ZD_AR_p031</t>
        </is>
      </c>
      <c r="B22" s="3" t="inlineStr">
        <is>
          <t>对应事实卡：E05</t>
        </is>
      </c>
      <c r="C22" s="3" t="inlineStr">
        <is>
          <t>原页已核读；A/D人工独立核对待完成</t>
        </is>
      </c>
      <c r="D22" s="3" t="inlineStr">
        <is>
          <t>原页文本核读</t>
        </is>
      </c>
    </row>
    <row r="23" ht="45" customHeight="1">
      <c r="A23" s="3" t="inlineStr">
        <is>
          <t>ZD_AR_p032</t>
        </is>
      </c>
      <c r="B23" s="3" t="inlineStr">
        <is>
          <t>对应事实卡：E05</t>
        </is>
      </c>
      <c r="C23" s="3" t="inlineStr">
        <is>
          <t>原页已核读；A/D人工独立核对待完成</t>
        </is>
      </c>
      <c r="D23" s="3" t="inlineStr">
        <is>
          <t>原页文本核读</t>
        </is>
      </c>
    </row>
    <row r="24" ht="45" customHeight="1">
      <c r="A24" s="3" t="inlineStr">
        <is>
          <t>ZD_AR_p033</t>
        </is>
      </c>
      <c r="B24" s="3" t="inlineStr">
        <is>
          <t>对应事实卡：E05,E08</t>
        </is>
      </c>
      <c r="C24" s="3" t="inlineStr">
        <is>
          <t>原页已核读；A/D人工独立核对待完成</t>
        </is>
      </c>
      <c r="D24" s="3" t="inlineStr">
        <is>
          <t>原页文本核读</t>
        </is>
      </c>
    </row>
    <row r="25" ht="45" customHeight="1">
      <c r="A25" s="3" t="inlineStr">
        <is>
          <t>ZD_AR_p062</t>
        </is>
      </c>
      <c r="B25" s="3" t="inlineStr">
        <is>
          <t>对应事实卡：E07</t>
        </is>
      </c>
      <c r="C25" s="3" t="inlineStr">
        <is>
          <t>原页已核读；A/D人工独立核对待完成</t>
        </is>
      </c>
      <c r="D25" s="3" t="inlineStr">
        <is>
          <t>文本及原页视觉核对</t>
        </is>
      </c>
    </row>
    <row r="26" ht="45" customHeight="1">
      <c r="A26" s="3" t="inlineStr">
        <is>
          <t>ZD_AR_p064</t>
        </is>
      </c>
      <c r="B26" s="3" t="inlineStr">
        <is>
          <t>对应事实卡：E07</t>
        </is>
      </c>
      <c r="C26" s="3" t="inlineStr">
        <is>
          <t>原页已核读；A/D人工独立核对待完成</t>
        </is>
      </c>
      <c r="D26" s="3" t="inlineStr">
        <is>
          <t>原页文本核读</t>
        </is>
      </c>
    </row>
    <row r="27" ht="45" customHeight="1">
      <c r="A27" s="3" t="inlineStr">
        <is>
          <t>ZD_AR_p065</t>
        </is>
      </c>
      <c r="B27" s="3" t="inlineStr">
        <is>
          <t>对应事实卡：E07</t>
        </is>
      </c>
      <c r="C27" s="3" t="inlineStr">
        <is>
          <t>原页已核读；A/D人工独立核对待完成</t>
        </is>
      </c>
      <c r="D27" s="3" t="inlineStr">
        <is>
          <t>文本及原页视觉核对</t>
        </is>
      </c>
    </row>
    <row r="28" ht="45" customHeight="1">
      <c r="A28" s="3" t="inlineStr">
        <is>
          <t>ZD_AR_p066</t>
        </is>
      </c>
      <c r="B28" s="3" t="inlineStr">
        <is>
          <t>对应事实卡：E07</t>
        </is>
      </c>
      <c r="C28" s="3" t="inlineStr">
        <is>
          <t>原页已核读；A/D人工独立核对待完成</t>
        </is>
      </c>
      <c r="D28" s="3" t="inlineStr">
        <is>
          <t>文本及原页视觉核对</t>
        </is>
      </c>
    </row>
  </sheetData>
  <autoFilter ref="A1:D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9" t="inlineStr">
        <is>
          <t>项目</t>
        </is>
      </c>
      <c r="B1" s="9" t="inlineStr">
        <is>
          <t>交付</t>
        </is>
      </c>
      <c r="C1" s="9" t="inlineStr">
        <is>
          <t>限制</t>
        </is>
      </c>
    </row>
    <row r="2" ht="75" customHeight="1">
      <c r="A2" s="3" t="inlineStr">
        <is>
          <t>问题</t>
        </is>
      </c>
      <c r="B2" s="3" t="inlineStr">
        <is>
          <t>P-A07研发比例；P-A08销量与收入</t>
        </is>
      </c>
      <c r="C2" s="3" t="inlineStr">
        <is>
          <t>只覆盖C/B两类；不代表完整样本</t>
        </is>
      </c>
    </row>
    <row r="3" ht="75" customHeight="1">
      <c r="A3" s="3" t="inlineStr">
        <is>
          <t>调用</t>
        </is>
      </c>
      <c r="B3" s="3" t="inlineStr">
        <is>
          <t>2题×2模型×2流程＝8次计划调用</t>
        </is>
      </c>
      <c r="C3" s="3" t="inlineStr">
        <is>
          <t>目前0次；精确配置由C填写</t>
        </is>
      </c>
    </row>
    <row r="4" ht="75" customHeight="1">
      <c r="A4" s="3" t="inlineStr">
        <is>
          <t>证据</t>
        </is>
      </c>
      <c r="B4" s="3" t="inlineStr">
        <is>
          <t>苏泊尔年报原第12–14、16页；共4页</t>
        </is>
      </c>
      <c r="C4" s="3" t="inlineStr">
        <is>
          <t>PDF供核对，实际模型输入固定用同一原页文字</t>
        </is>
      </c>
    </row>
    <row r="5" ht="75" customHeight="1">
      <c r="A5" s="3" t="inlineStr">
        <is>
          <t>任务认领</t>
        </is>
      </c>
      <c r="B5" s="3" t="inlineStr">
        <is>
          <t>C/D各24次正式人工任务已确认</t>
        </is>
      </c>
      <c r="C5" s="3" t="inlineStr">
        <is>
          <t>本轮2题调试不属于正式人工24题</t>
        </is>
      </c>
    </row>
    <row r="6" ht="75" customHeight="1">
      <c r="A6" s="3" t="inlineStr">
        <is>
          <t>缺项</t>
        </is>
      </c>
      <c r="B6" s="3" t="inlineStr">
        <is>
          <t>智动力2025年报1225251420.PDF</t>
        </is>
      </c>
      <c r="C6" s="3" t="inlineStr">
        <is>
          <t>已收到的一季报不能代替年度报告</t>
        </is>
      </c>
    </row>
  </sheetData>
  <autoFilter ref="A1:C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  <col width="65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1" t="inlineStr">
        <is>
          <t>题号</t>
        </is>
      </c>
      <c r="B1" s="11" t="inlineStr">
        <is>
          <t>原始提问</t>
        </is>
      </c>
      <c r="C1" s="11" t="inlineStr">
        <is>
          <t>原页与选编页码</t>
        </is>
      </c>
      <c r="D1" s="11" t="inlineStr">
        <is>
          <t>助手参考答案_待复核</t>
        </is>
      </c>
      <c r="E1" s="11" t="inlineStr">
        <is>
          <t>重点核对</t>
        </is>
      </c>
      <c r="F1" s="11" t="inlineStr">
        <is>
          <t>A结论_支持或需修改或无法判断</t>
        </is>
      </c>
      <c r="G1" s="11" t="inlineStr">
        <is>
          <t>依据页码与具体理由</t>
        </is>
      </c>
      <c r="H1" s="11" t="inlineStr">
        <is>
          <t>建议修改</t>
        </is>
      </c>
      <c r="I1" s="11" t="inlineStr">
        <is>
          <t>复核人</t>
        </is>
      </c>
      <c r="J1" s="11" t="inlineStr">
        <is>
          <t>实际复核时间</t>
        </is>
      </c>
    </row>
    <row r="2" ht="150" customHeight="1">
      <c r="A2" s="12" t="inlineStr">
        <is>
          <t>P-A01</t>
        </is>
      </c>
      <c r="B2" s="12" t="inlineStr">
        <is>
          <t>2025年归属于上市公司股东的净利润亏损1.34亿元，较上年同期亏损幅度有所收窄，请问归母净利润减亏的主要驱动因素是什么？</t>
        </is>
      </c>
      <c r="C2" s="12" t="inlineStr">
        <is>
          <t>年报8、10；选编2、3</t>
        </is>
      </c>
      <c r="D2" s="12" t="inlineStr">
        <is>
          <t>年报显示归母净亏损1.3437亿元，同比减亏2062.53万元。会计分解中，归母非经常性损益改善2415.97万元，扣非归母反而恶化353.43万元。第10页列示委托投资/管理资产损益、非流动性资产处置损益分别改善1494.19和1347.46万元，属于非经常项目税前变动，不能与税后归母变化直接相加。因此减亏不能等同于主营扭亏。[E01]</t>
        </is>
      </c>
      <c r="E2" s="12" t="inlineStr">
        <is>
          <t>归母减亏2062.53万元；扣非恶化353.43万元；非经常改善2415.97万元。税前项目变化不直接加到税后归母变化。</t>
        </is>
      </c>
      <c r="F2" s="12" t="inlineStr"/>
      <c r="G2" s="12" t="inlineStr"/>
      <c r="H2" s="12" t="inlineStr"/>
      <c r="I2" s="12" t="inlineStr"/>
      <c r="J2" s="12" t="inlineStr"/>
    </row>
    <row r="3" ht="150" customHeight="1">
      <c r="A3" s="12" t="inlineStr">
        <is>
          <t>P-A02</t>
        </is>
      </c>
      <c r="B3" s="12" t="inlineStr">
        <is>
          <t>请问，公司研发费用2025年同比增长19.78%，2026年一季度增长46.25%，投入的重点方向是什么？</t>
        </is>
      </c>
      <c r="C3" s="12" t="inlineStr">
        <is>
          <t>年报25、26；一季报3；选编7、8、16</t>
        </is>
      </c>
      <c r="D3" s="12" t="inlineStr">
        <is>
          <t>两期增幅可核实。年报研发项目涉及背板结构、复合板材及电池生产治具。可介绍这些已披露方向，但所给一季报未分项说明新增研发费用的项目分配。[E02–E03]</t>
        </is>
      </c>
      <c r="E3" s="12" t="inlineStr">
        <is>
          <t>年度研发同比19.78%，一季度46.25%；年度项目列示不等于季度新增经费的项目分配。</t>
        </is>
      </c>
      <c r="F3" s="12" t="inlineStr"/>
      <c r="G3" s="12" t="inlineStr"/>
      <c r="H3" s="12" t="inlineStr"/>
      <c r="I3" s="12" t="inlineStr"/>
      <c r="J3" s="12" t="inlineStr"/>
    </row>
    <row r="4" ht="150" customHeight="1">
      <c r="A4" s="12" t="inlineStr">
        <is>
          <t>P-A03</t>
        </is>
      </c>
      <c r="B4" s="12" t="inlineStr">
        <is>
          <t>公司海外业务的发展情况如何？2025年海外收入占比是多少？未来在海外市场有哪些拓展计划？</t>
        </is>
      </c>
      <c r="C4" s="12" t="inlineStr">
        <is>
          <t>年报21、31–33；选编6、9–11</t>
        </is>
      </c>
      <c r="D4" s="12" t="inlineStr">
        <is>
          <t>2025年境外收入约3.53亿元，占22.20%，同比下降24.01%。公司在越南设有生产布局，已披露计划涉及优化含越南在内的产能与协同；计划不等于订单或业绩保证。[E04–E05、E08]</t>
        </is>
      </c>
      <c r="E4" s="12" t="inlineStr">
        <is>
          <t>境外收入3.5321亿元，占22.20%，同比−24.01%；越南子公司收入不能替代集团境外收入；计划不是订单。</t>
        </is>
      </c>
      <c r="F4" s="12" t="inlineStr"/>
      <c r="G4" s="12" t="inlineStr"/>
      <c r="H4" s="12" t="inlineStr"/>
      <c r="I4" s="12" t="inlineStr"/>
      <c r="J4" s="12" t="inlineStr"/>
    </row>
    <row r="5" ht="150" customHeight="1">
      <c r="A5" s="12" t="inlineStr">
        <is>
          <t>P-A04</t>
        </is>
      </c>
      <c r="B5" s="12" t="inlineStr">
        <is>
          <t>公司固液混合产品未来的主要应用方向是什么？为什么选择这些应用领域？</t>
        </is>
      </c>
      <c r="C5" s="12" t="inlineStr">
        <is>
          <t>年报2、12、13、33；选编1、4、5、11</t>
        </is>
      </c>
      <c r="D5" s="12" t="inlineStr">
        <is>
          <t>年报将固液混合电池等对应载重型低空飞行器、人形机器人，并讨论相关场景的能量密度、安全与寿命需求。可解释这一适配逻辑；不能据此确认客户订单或量产成效。[E06、E08]</t>
        </is>
      </c>
      <c r="E5" s="12" t="inlineStr">
        <is>
          <t>应用方向可按公司披露介绍；固液混合与全固态技术指标不混同；方向/目标不写成订单和量产实绩。</t>
        </is>
      </c>
      <c r="F5" s="12" t="inlineStr"/>
      <c r="G5" s="12" t="inlineStr"/>
      <c r="H5" s="12" t="inlineStr"/>
      <c r="I5" s="12" t="inlineStr"/>
      <c r="J5" s="12" t="inlineStr"/>
    </row>
    <row r="6" ht="150" customHeight="1">
      <c r="A6" s="12" t="inlineStr">
        <is>
          <t>P-A05</t>
        </is>
      </c>
      <c r="B6" s="12" t="inlineStr">
        <is>
          <t>公司之前终止了部分低效的募投项目，请问这些项目的剩余资金将如何使用？</t>
        </is>
      </c>
      <c r="C6" s="12" t="inlineStr">
        <is>
          <t>年报62、64–66；选编12–15</t>
        </is>
      </c>
      <c r="D6" s="12" t="inlineStr">
        <is>
          <t>年报披露，终止三个相关募投项目后的剩余募集资金用于永久补充流动资金，金额324274902.04元，含利息收入、手续费及汇率变动等影响32917845.77元。项目表合计29135.71万元是另一列示口径，不能混同。上述披露不能证明同额资金已全部投向某项新业务。[E07]</t>
        </is>
      </c>
      <c r="E6" s="12" t="inlineStr">
        <is>
          <t>永久补流324274902.04元含利息、手续费与汇率等32917845.77元；扣除后折万元为29135.705627，四舍五入29135.71。</t>
        </is>
      </c>
      <c r="F6" s="12" t="inlineStr"/>
      <c r="G6" s="12" t="inlineStr"/>
      <c r="H6" s="12" t="inlineStr"/>
      <c r="I6" s="12" t="inlineStr"/>
      <c r="J6" s="12" t="inlineStr"/>
    </row>
  </sheetData>
  <autoFilter ref="A1:J6"/>
  <dataValidations count="1">
    <dataValidation sqref="F2:F6" showDropDown="0" showInputMessage="0" showErrorMessage="0" allowBlank="0" type="list">
      <formula1>"支持,需修改,无法判断"</formula1>
    </dataValidation>
  </dataValidations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  <col width="65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1" t="inlineStr">
        <is>
          <t>题号</t>
        </is>
      </c>
      <c r="B1" s="11" t="inlineStr">
        <is>
          <t>原始提问</t>
        </is>
      </c>
      <c r="C1" s="11" t="inlineStr">
        <is>
          <t>原页与选编页码</t>
        </is>
      </c>
      <c r="D1" s="11" t="inlineStr">
        <is>
          <t>D独立提取的可答事实</t>
        </is>
      </c>
      <c r="E1" s="11" t="inlineStr">
        <is>
          <t>证据不足部分</t>
        </is>
      </c>
      <c r="F1" s="11" t="inlineStr">
        <is>
          <t>关键错误判定</t>
        </is>
      </c>
      <c r="G1" s="11" t="inlineStr">
        <is>
          <t>依据页码</t>
        </is>
      </c>
      <c r="H1" s="11" t="inlineStr">
        <is>
          <t>复核人</t>
        </is>
      </c>
      <c r="I1" s="11" t="inlineStr">
        <is>
          <t>实际复核时间</t>
        </is>
      </c>
    </row>
    <row r="2" ht="150" customHeight="1">
      <c r="A2" s="12" t="inlineStr">
        <is>
          <t>P-A01</t>
        </is>
      </c>
      <c r="B2" s="12" t="inlineStr">
        <is>
          <t>2025年归属于上市公司股东的净利润亏损1.34亿元，较上年同期亏损幅度有所收窄，请问归母净利润减亏的主要驱动因素是什么？</t>
        </is>
      </c>
      <c r="C2" s="12" t="inlineStr">
        <is>
          <t>年报8、10；选编2、3</t>
        </is>
      </c>
      <c r="D2" s="12" t="inlineStr"/>
      <c r="E2" s="12" t="inlineStr"/>
      <c r="F2" s="12" t="inlineStr"/>
      <c r="G2" s="12" t="inlineStr"/>
      <c r="H2" s="12" t="inlineStr"/>
      <c r="I2" s="12" t="inlineStr"/>
    </row>
    <row r="3" ht="150" customHeight="1">
      <c r="A3" s="12" t="inlineStr">
        <is>
          <t>P-A02</t>
        </is>
      </c>
      <c r="B3" s="12" t="inlineStr">
        <is>
          <t>请问，公司研发费用2025年同比增长19.78%，2026年一季度增长46.25%，投入的重点方向是什么？</t>
        </is>
      </c>
      <c r="C3" s="12" t="inlineStr">
        <is>
          <t>年报25、26；一季报3；选编7、8、16</t>
        </is>
      </c>
      <c r="D3" s="12" t="inlineStr"/>
      <c r="E3" s="12" t="inlineStr"/>
      <c r="F3" s="12" t="inlineStr"/>
      <c r="G3" s="12" t="inlineStr"/>
      <c r="H3" s="12" t="inlineStr"/>
      <c r="I3" s="12" t="inlineStr"/>
    </row>
    <row r="4" ht="150" customHeight="1">
      <c r="A4" s="12" t="inlineStr">
        <is>
          <t>P-A03</t>
        </is>
      </c>
      <c r="B4" s="12" t="inlineStr">
        <is>
          <t>公司海外业务的发展情况如何？2025年海外收入占比是多少？未来在海外市场有哪些拓展计划？</t>
        </is>
      </c>
      <c r="C4" s="12" t="inlineStr">
        <is>
          <t>年报21、31–33；选编6、9–11</t>
        </is>
      </c>
      <c r="D4" s="12" t="inlineStr"/>
      <c r="E4" s="12" t="inlineStr"/>
      <c r="F4" s="12" t="inlineStr"/>
      <c r="G4" s="12" t="inlineStr"/>
      <c r="H4" s="12" t="inlineStr"/>
      <c r="I4" s="12" t="inlineStr"/>
    </row>
    <row r="5" ht="150" customHeight="1">
      <c r="A5" s="12" t="inlineStr">
        <is>
          <t>P-A04</t>
        </is>
      </c>
      <c r="B5" s="12" t="inlineStr">
        <is>
          <t>公司固液混合产品未来的主要应用方向是什么？为什么选择这些应用领域？</t>
        </is>
      </c>
      <c r="C5" s="12" t="inlineStr">
        <is>
          <t>年报2、12、13、33；选编1、4、5、11</t>
        </is>
      </c>
      <c r="D5" s="12" t="inlineStr"/>
      <c r="E5" s="12" t="inlineStr"/>
      <c r="F5" s="12" t="inlineStr"/>
      <c r="G5" s="12" t="inlineStr"/>
      <c r="H5" s="12" t="inlineStr"/>
      <c r="I5" s="12" t="inlineStr"/>
    </row>
    <row r="6" ht="150" customHeight="1">
      <c r="A6" s="12" t="inlineStr">
        <is>
          <t>P-A05</t>
        </is>
      </c>
      <c r="B6" s="12" t="inlineStr">
        <is>
          <t>公司之前终止了部分低效的募投项目，请问这些项目的剩余资金将如何使用？</t>
        </is>
      </c>
      <c r="C6" s="12" t="inlineStr">
        <is>
          <t>年报62、64–66；选编12–15</t>
        </is>
      </c>
      <c r="D6" s="12" t="inlineStr"/>
      <c r="E6" s="12" t="inlineStr"/>
      <c r="F6" s="12" t="inlineStr"/>
      <c r="G6" s="12" t="inlineStr"/>
      <c r="H6" s="12" t="inlineStr"/>
      <c r="I6" s="12" t="inlineStr"/>
    </row>
  </sheetData>
  <autoFilter ref="A1:I6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2026-10-21T14:43:11Z</dcterms:created>
  <dcterms:modified xmlns:dcterms="http://purl.org/dc/terms/" xmlns:xsi="http://www.w3.org/2001/XMLSchema-instance" xsi:type="dcterms:W3CDTF">2026-10-22T16:41:12Z</dcterms:modified>
</cp:coreProperties>
</file>