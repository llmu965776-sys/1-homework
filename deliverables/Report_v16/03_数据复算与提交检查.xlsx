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口径说明" sheetId="1" state="visible" r:id="rId3"/>
    <sheet name="01_逐次费用" sheetId="2" state="visible" r:id="rId4"/>
    <sheet name="02_四条件汇总" sheetId="3" state="visible" r:id="rId5"/>
    <sheet name="03_校准记录非双评" sheetId="4" state="visible" r:id="rId6"/>
    <sheet name="04_价格折扣情景" sheetId="5" state="visible" r:id="rId7"/>
    <sheet name="05_人工时间情景" sheetId="6" state="visible" r:id="rId8"/>
    <sheet name="06_炊具均值复算" sheetId="7" state="visible" r:id="rId9"/>
    <sheet name="07_文献与页码" sheetId="8" state="visible" r:id="rId10"/>
    <sheet name="08_提交检查" sheetId="9" state="visible" r:id="rId11"/>
  </sheets>
  <definedNames>
    <definedName function="false" hidden="true" localSheetId="0" name="_xlnm._FilterDatabase" vbProcedure="false">'00_口径说明'!$A$1:$B$9</definedName>
    <definedName function="false" hidden="true" localSheetId="1" name="_xlnm._FilterDatabase" vbProcedure="false">'01_逐次费用'!$A$1:$O$10</definedName>
    <definedName function="false" hidden="true" localSheetId="2" name="_xlnm._FilterDatabase" vbProcedure="false">'02_四条件汇总'!$A$1:$H$5</definedName>
    <definedName function="false" hidden="true" localSheetId="3" name="_xlnm._FilterDatabase" vbProcedure="false">'03_校准记录非双评'!$A$1:$L$9</definedName>
    <definedName function="false" hidden="true" localSheetId="4" name="_xlnm._FilterDatabase" vbProcedure="false">'04_价格折扣情景'!$A$1:$D$10</definedName>
    <definedName function="false" hidden="true" localSheetId="5" name="_xlnm._FilterDatabase" vbProcedure="false">'05_人工时间情景'!$A$1:$H$16</definedName>
    <definedName function="false" hidden="true" localSheetId="6" name="_xlnm._FilterDatabase" vbProcedure="false">'06_炊具均值复算'!$A$1:$F$3</definedName>
    <definedName function="false" hidden="true" localSheetId="7" name="_xlnm._FilterDatabase" vbProcedure="false">'07_文献与页码'!$A$1:$I$4</definedName>
    <definedName function="false" hidden="true" localSheetId="8" name="_xlnm._FilterDatabase" vbProcedure="false">'08_提交检查'!$A$1:$D$13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<sst xmlns="http://schemas.openxmlformats.org/spreadsheetml/2006/main" count="295" uniqueCount="184">
  <si>
    <t xml:space="preserve">项目</t>
  </si>
  <si>
    <t xml:space="preserve">说明</t>
  </si>
  <si>
    <t xml:space="preserve">数据截点</t>
  </si>
  <si>
    <r>
      <rPr>
        <sz val="10"/>
        <color rgb="FF111111"/>
        <rFont val="宋体"/>
        <family val="0"/>
        <charset val="1"/>
      </rPr>
      <t xml:space="preserve">2026-10-28</t>
    </r>
    <r>
      <rPr>
        <sz val="10"/>
        <color rgb="FF111111"/>
        <rFont val="Noto Sans CJK SC"/>
        <family val="2"/>
      </rPr>
      <t xml:space="preserve">；尚未收到</t>
    </r>
    <r>
      <rPr>
        <sz val="10"/>
        <color rgb="FF111111"/>
        <rFont val="宋体"/>
        <family val="0"/>
        <charset val="1"/>
      </rPr>
      <t xml:space="preserve">D</t>
    </r>
    <r>
      <rPr>
        <sz val="10"/>
        <color rgb="FF111111"/>
        <rFont val="Noto Sans CJK SC"/>
        <family val="2"/>
      </rPr>
      <t xml:space="preserve">独立输出评分，未完成受控人工写作任务。</t>
    </r>
  </si>
  <si>
    <t xml:space="preserve">用途</t>
  </si>
  <si>
    <r>
      <rPr>
        <sz val="10"/>
        <color rgb="FF111111"/>
        <rFont val="Noto Sans CJK SC"/>
        <family val="2"/>
      </rPr>
      <t xml:space="preserve">本簿区分日志实测、参考费用、评分校准和假设情景。不能把情景工资</t>
    </r>
    <r>
      <rPr>
        <sz val="10"/>
        <color rgb="FF111111"/>
        <rFont val="宋体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时间写成企业实测。</t>
    </r>
  </si>
  <si>
    <t xml:space="preserve">身份</t>
  </si>
  <si>
    <t xml:space="preserve">金金有味队：李牧轩、刘铠侨、李泽锴、黄玺诺；天津大学分赛场。</t>
  </si>
  <si>
    <t xml:space="preserve">费用</t>
  </si>
  <si>
    <r>
      <rPr>
        <sz val="10"/>
        <color rgb="FF111111"/>
        <rFont val="Noto Sans CJK SC"/>
        <family val="2"/>
      </rPr>
      <t xml:space="preserve">每次</t>
    </r>
    <r>
      <rPr>
        <sz val="10"/>
        <color rgb="FF111111"/>
        <rFont val="宋体"/>
        <family val="0"/>
        <charset val="1"/>
      </rPr>
      <t xml:space="preserve">(input_tokens×input_rate+output_tokens×output_rate)/1000000</t>
    </r>
    <r>
      <rPr>
        <sz val="10"/>
        <color rgb="FF111111"/>
        <rFont val="Noto Sans CJK SC"/>
        <family val="2"/>
      </rPr>
      <t xml:space="preserve">；本轮缓存命中</t>
    </r>
    <r>
      <rPr>
        <sz val="10"/>
        <color rgb="FF111111"/>
        <rFont val="宋体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。</t>
    </r>
  </si>
  <si>
    <t xml:space="preserve">评价</t>
  </si>
  <si>
    <r>
      <rPr>
        <sz val="10"/>
        <color rgb="FF111111"/>
        <rFont val="Noto Sans CJK SC"/>
        <family val="2"/>
      </rPr>
      <t xml:space="preserve">当前</t>
    </r>
    <r>
      <rPr>
        <sz val="10"/>
        <color rgb="FF111111"/>
        <rFont val="宋体"/>
        <family val="0"/>
        <charset val="1"/>
      </rPr>
      <t xml:space="preserve">3/8</t>
    </r>
    <r>
      <rPr>
        <sz val="10"/>
        <color rgb="FF111111"/>
        <rFont val="Noto Sans CJK SC"/>
        <family val="2"/>
      </rPr>
      <t xml:space="preserve">只是</t>
    </r>
    <r>
      <rPr>
        <sz val="10"/>
        <color rgb="FF111111"/>
        <rFont val="宋体"/>
        <family val="0"/>
        <charset val="1"/>
      </rPr>
      <t xml:space="preserve">A</t>
    </r>
    <r>
      <rPr>
        <sz val="10"/>
        <color rgb="FF111111"/>
        <rFont val="Noto Sans CJK SC"/>
        <family val="2"/>
      </rPr>
      <t xml:space="preserve">复核及助手辅助视图；无</t>
    </r>
    <r>
      <rPr>
        <sz val="10"/>
        <color rgb="FF111111"/>
        <rFont val="宋体"/>
        <family val="0"/>
        <charset val="1"/>
      </rPr>
      <t xml:space="preserve">D</t>
    </r>
    <r>
      <rPr>
        <sz val="10"/>
        <color rgb="FF111111"/>
        <rFont val="Noto Sans CJK SC"/>
        <family val="2"/>
      </rPr>
      <t xml:space="preserve">双评、无最终合格成本。</t>
    </r>
  </si>
  <si>
    <t xml:space="preserve">来源</t>
  </si>
  <si>
    <r>
      <rPr>
        <sz val="10"/>
        <color rgb="FF111111"/>
        <rFont val="宋体"/>
        <family val="0"/>
        <charset val="1"/>
      </rPr>
      <t xml:space="preserve">01</t>
    </r>
    <r>
      <rPr>
        <sz val="10"/>
        <color rgb="FF111111"/>
        <rFont val="Noto Sans CJK SC"/>
        <family val="2"/>
      </rPr>
      <t xml:space="preserve">日志来自</t>
    </r>
    <r>
      <rPr>
        <sz val="10"/>
        <color rgb="FF111111"/>
        <rFont val="宋体"/>
        <family val="0"/>
        <charset val="1"/>
      </rPr>
      <t xml:space="preserve">C</t>
    </r>
    <r>
      <rPr>
        <sz val="10"/>
        <color rgb="FF111111"/>
        <rFont val="Noto Sans CJK SC"/>
        <family val="2"/>
      </rPr>
      <t xml:space="preserve">交付经核验数据；评分来自</t>
    </r>
    <r>
      <rPr>
        <sz val="10"/>
        <color rgb="FF111111"/>
        <rFont val="宋体"/>
        <family val="0"/>
        <charset val="1"/>
      </rPr>
      <t xml:space="preserve">v1.5</t>
    </r>
    <r>
      <rPr>
        <sz val="10"/>
        <color rgb="FF111111"/>
        <rFont val="Noto Sans CJK SC"/>
        <family val="2"/>
      </rPr>
      <t xml:space="preserve">。参考链接见文稿。</t>
    </r>
  </si>
  <si>
    <t xml:space="preserve">公式</t>
  </si>
  <si>
    <r>
      <rPr>
        <sz val="10"/>
        <color rgb="FF111111"/>
        <rFont val="宋体"/>
        <family val="0"/>
        <charset val="1"/>
      </rPr>
      <t xml:space="preserve">Excel</t>
    </r>
    <r>
      <rPr>
        <sz val="10"/>
        <color rgb="FF111111"/>
        <rFont val="Noto Sans CJK SC"/>
        <family val="2"/>
      </rPr>
      <t xml:space="preserve">公式可重算；绿色或蓝色值为已记录数据，情景假设另表。空白实付、</t>
    </r>
    <r>
      <rPr>
        <sz val="10"/>
        <color rgb="FF111111"/>
        <rFont val="宋体"/>
        <family val="0"/>
        <charset val="1"/>
      </rPr>
      <t xml:space="preserve">D</t>
    </r>
    <r>
      <rPr>
        <sz val="10"/>
        <color rgb="FF111111"/>
        <rFont val="Noto Sans CJK SC"/>
        <family val="2"/>
      </rPr>
      <t xml:space="preserve">评分均不得填</t>
    </r>
    <r>
      <rPr>
        <sz val="10"/>
        <color rgb="FF111111"/>
        <rFont val="宋体"/>
        <family val="0"/>
        <charset val="1"/>
      </rPr>
      <t xml:space="preserve">0</t>
    </r>
    <r>
      <rPr>
        <sz val="10"/>
        <color rgb="FF111111"/>
        <rFont val="Noto Sans CJK SC"/>
        <family val="2"/>
      </rPr>
      <t xml:space="preserve">。</t>
    </r>
  </si>
  <si>
    <t xml:space="preserve">保密流程</t>
  </si>
  <si>
    <r>
      <rPr>
        <sz val="10"/>
        <color rgb="FF111111"/>
        <rFont val="宋体"/>
        <family val="0"/>
        <charset val="1"/>
      </rPr>
      <t xml:space="preserve">D</t>
    </r>
    <r>
      <rPr>
        <sz val="10"/>
        <color rgb="FF111111"/>
        <rFont val="Noto Sans CJK SC"/>
        <family val="2"/>
      </rPr>
      <t xml:space="preserve">独立提交前不要看本表模型映射、</t>
    </r>
    <r>
      <rPr>
        <sz val="10"/>
        <color rgb="FF111111"/>
        <rFont val="宋体"/>
        <family val="0"/>
        <charset val="1"/>
      </rPr>
      <t xml:space="preserve">A</t>
    </r>
    <r>
      <rPr>
        <sz val="10"/>
        <color rgb="FF111111"/>
        <rFont val="Noto Sans CJK SC"/>
        <family val="2"/>
      </rPr>
      <t xml:space="preserve">分数和辅助裁定；公开仓库不是权限隔离。</t>
    </r>
  </si>
  <si>
    <r>
      <rPr>
        <b val="true"/>
        <sz val="11"/>
        <color rgb="FFFFFFFF"/>
        <rFont val="Noto Sans CJK SC"/>
        <family val="2"/>
      </rPr>
      <t xml:space="preserve">匿名</t>
    </r>
    <r>
      <rPr>
        <b val="true"/>
        <sz val="11"/>
        <color rgb="FFFFFFFF"/>
        <rFont val="宋体"/>
        <family val="0"/>
        <charset val="1"/>
      </rPr>
      <t xml:space="preserve">ID</t>
    </r>
  </si>
  <si>
    <t xml:space="preserve">题号</t>
  </si>
  <si>
    <t xml:space="preserve">模型</t>
  </si>
  <si>
    <t xml:space="preserve">流程</t>
  </si>
  <si>
    <r>
      <rPr>
        <b val="true"/>
        <sz val="11"/>
        <color rgb="FFFFFFFF"/>
        <rFont val="Noto Sans CJK SC"/>
        <family val="2"/>
      </rPr>
      <t xml:space="preserve">输入</t>
    </r>
    <r>
      <rPr>
        <b val="true"/>
        <sz val="11"/>
        <color rgb="FFFFFFFF"/>
        <rFont val="宋体"/>
        <family val="0"/>
        <charset val="1"/>
      </rPr>
      <t xml:space="preserve">Token</t>
    </r>
  </si>
  <si>
    <r>
      <rPr>
        <b val="true"/>
        <sz val="11"/>
        <color rgb="FFFFFFFF"/>
        <rFont val="Noto Sans CJK SC"/>
        <family val="2"/>
      </rPr>
      <t xml:space="preserve">输出</t>
    </r>
    <r>
      <rPr>
        <b val="true"/>
        <sz val="11"/>
        <color rgb="FFFFFFFF"/>
        <rFont val="宋体"/>
        <family val="0"/>
        <charset val="1"/>
      </rPr>
      <t xml:space="preserve">Token</t>
    </r>
  </si>
  <si>
    <r>
      <rPr>
        <b val="true"/>
        <sz val="11"/>
        <color rgb="FFFFFFFF"/>
        <rFont val="Noto Sans CJK SC"/>
        <family val="2"/>
      </rPr>
      <t xml:space="preserve">输入单价</t>
    </r>
    <r>
      <rPr>
        <b val="true"/>
        <sz val="11"/>
        <color rgb="FFFFFFFF"/>
        <rFont val="宋体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元每百万</t>
    </r>
  </si>
  <si>
    <r>
      <rPr>
        <b val="true"/>
        <sz val="11"/>
        <color rgb="FFFFFFFF"/>
        <rFont val="Noto Sans CJK SC"/>
        <family val="2"/>
      </rPr>
      <t xml:space="preserve">输出单价</t>
    </r>
    <r>
      <rPr>
        <b val="true"/>
        <sz val="11"/>
        <color rgb="FFFFFFFF"/>
        <rFont val="宋体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元每百万</t>
    </r>
  </si>
  <si>
    <r>
      <rPr>
        <b val="true"/>
        <sz val="11"/>
        <color rgb="FFFFFFFF"/>
        <rFont val="Noto Sans CJK SC"/>
        <family val="2"/>
      </rPr>
      <t xml:space="preserve">复算费用</t>
    </r>
    <r>
      <rPr>
        <b val="true"/>
        <sz val="11"/>
        <color rgb="FFFFFFFF"/>
        <rFont val="宋体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</t>
    </r>
  </si>
  <si>
    <r>
      <rPr>
        <b val="true"/>
        <sz val="11"/>
        <color rgb="FFFFFFFF"/>
        <rFont val="Noto Sans CJK SC"/>
        <family val="2"/>
      </rPr>
      <t xml:space="preserve">原记录参考费</t>
    </r>
    <r>
      <rPr>
        <b val="true"/>
        <sz val="11"/>
        <color rgb="FFFFFFFF"/>
        <rFont val="宋体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元</t>
    </r>
  </si>
  <si>
    <t xml:space="preserve">差额</t>
  </si>
  <si>
    <r>
      <rPr>
        <b val="true"/>
        <sz val="11"/>
        <color rgb="FFFFFFFF"/>
        <rFont val="Noto Sans CJK SC"/>
        <family val="2"/>
      </rPr>
      <t xml:space="preserve">缓存命中</t>
    </r>
    <r>
      <rPr>
        <b val="true"/>
        <sz val="11"/>
        <color rgb="FFFFFFFF"/>
        <rFont val="宋体"/>
        <family val="0"/>
        <charset val="1"/>
      </rPr>
      <t xml:space="preserve">Token</t>
    </r>
  </si>
  <si>
    <t xml:space="preserve">调用时间北京时间</t>
  </si>
  <si>
    <r>
      <rPr>
        <b val="true"/>
        <sz val="11"/>
        <color rgb="FFFFFFFF"/>
        <rFont val="Noto Sans CJK SC"/>
        <family val="2"/>
      </rPr>
      <t xml:space="preserve">实际支付</t>
    </r>
    <r>
      <rPr>
        <b val="true"/>
        <sz val="11"/>
        <color rgb="FFFFFFFF"/>
        <rFont val="宋体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待账单</t>
    </r>
  </si>
  <si>
    <t xml:space="preserve">来源状态</t>
  </si>
  <si>
    <t xml:space="preserve">CAL-01</t>
  </si>
  <si>
    <t xml:space="preserve">P-A07</t>
  </si>
  <si>
    <t xml:space="preserve">千问</t>
  </si>
  <si>
    <t xml:space="preserve">boundary</t>
  </si>
  <si>
    <t xml:space="preserve">2026-10-24T00:08:04.880+08:00</t>
  </si>
  <si>
    <t xml:space="preserve">日志用量；单价复算，非实付</t>
  </si>
  <si>
    <t xml:space="preserve">CAL-02</t>
  </si>
  <si>
    <t xml:space="preserve">P-A08</t>
  </si>
  <si>
    <t xml:space="preserve">DeepSeek</t>
  </si>
  <si>
    <t xml:space="preserve">2026-10-24T00:08:09.272+08:00</t>
  </si>
  <si>
    <t xml:space="preserve">CAL-03</t>
  </si>
  <si>
    <t xml:space="preserve">direct</t>
  </si>
  <si>
    <t xml:space="preserve">2026-10-24T00:08:12.227+08:00</t>
  </si>
  <si>
    <t xml:space="preserve">CAL-04</t>
  </si>
  <si>
    <t xml:space="preserve">2026-10-24T00:08:13.997+08:00</t>
  </si>
  <si>
    <t xml:space="preserve">CAL-05</t>
  </si>
  <si>
    <t xml:space="preserve">2026-10-24T00:08:18.342+08:00</t>
  </si>
  <si>
    <t xml:space="preserve">CAL-06</t>
  </si>
  <si>
    <t xml:space="preserve">2026-10-24T00:08:25.046+08:00</t>
  </si>
  <si>
    <t xml:space="preserve">CAL-07</t>
  </si>
  <si>
    <t xml:space="preserve">2026-10-24T00:08:27.584+08:00</t>
  </si>
  <si>
    <t xml:space="preserve">CAL-08</t>
  </si>
  <si>
    <t xml:space="preserve">2026-10-24T00:08:31.304+08:00</t>
  </si>
  <si>
    <t xml:space="preserve">合计</t>
  </si>
  <si>
    <r>
      <rPr>
        <sz val="10"/>
        <color rgb="FF111111"/>
        <rFont val="宋体"/>
        <family val="0"/>
        <charset val="1"/>
      </rPr>
      <t xml:space="preserve">8</t>
    </r>
    <r>
      <rPr>
        <sz val="10"/>
        <color rgb="FF111111"/>
        <rFont val="Noto Sans CJK SC"/>
        <family val="2"/>
      </rPr>
      <t xml:space="preserve">次</t>
    </r>
    <r>
      <rPr>
        <sz val="10"/>
        <color rgb="FF111111"/>
        <rFont val="宋体"/>
        <family val="0"/>
        <charset val="1"/>
      </rPr>
      <t xml:space="preserve">/2</t>
    </r>
    <r>
      <rPr>
        <sz val="10"/>
        <color rgb="FF111111"/>
        <rFont val="Noto Sans CJK SC"/>
        <family val="2"/>
      </rPr>
      <t xml:space="preserve">题</t>
    </r>
  </si>
  <si>
    <t xml:space="preserve">次数</t>
  </si>
  <si>
    <t xml:space="preserve">参考费用合计</t>
  </si>
  <si>
    <t xml:space="preserve">平均每次费用</t>
  </si>
  <si>
    <t xml:space="preserve">备注</t>
  </si>
  <si>
    <t xml:space="preserve">两题各一次，不做质量排名</t>
  </si>
  <si>
    <t xml:space="preserve">F</t>
  </si>
  <si>
    <t xml:space="preserve">E</t>
  </si>
  <si>
    <t xml:space="preserve">C</t>
  </si>
  <si>
    <t xml:space="preserve">B</t>
  </si>
  <si>
    <t xml:space="preserve">关键错误</t>
  </si>
  <si>
    <r>
      <rPr>
        <b val="true"/>
        <sz val="11"/>
        <color rgb="FFFFFFFF"/>
        <rFont val="Noto Sans CJK SC"/>
        <family val="2"/>
      </rPr>
      <t xml:space="preserve">标准</t>
    </r>
    <r>
      <rPr>
        <b val="true"/>
        <sz val="11"/>
        <color rgb="FFFFFFFF"/>
        <rFont val="宋体"/>
        <family val="0"/>
        <charset val="1"/>
      </rPr>
      <t xml:space="preserve">U</t>
    </r>
  </si>
  <si>
    <t xml:space="preserve">当前门槛</t>
  </si>
  <si>
    <t xml:space="preserve">评分来源</t>
  </si>
  <si>
    <r>
      <rPr>
        <b val="true"/>
        <sz val="11"/>
        <color rgb="FFFFFFFF"/>
        <rFont val="宋体"/>
        <family val="0"/>
        <charset val="1"/>
      </rPr>
      <t xml:space="preserve">D</t>
    </r>
    <r>
      <rPr>
        <b val="true"/>
        <sz val="11"/>
        <color rgb="FFFFFFFF"/>
        <rFont val="Noto Sans CJK SC"/>
        <family val="2"/>
      </rPr>
      <t xml:space="preserve">评分</t>
    </r>
    <r>
      <rPr>
        <b val="true"/>
        <sz val="11"/>
        <color rgb="FFFFFFFF"/>
        <rFont val="宋体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空白</t>
    </r>
  </si>
  <si>
    <r>
      <rPr>
        <b val="true"/>
        <sz val="11"/>
        <color rgb="FFFFFFFF"/>
        <rFont val="Noto Sans CJK SC"/>
        <family val="2"/>
      </rPr>
      <t xml:space="preserve">最终裁定</t>
    </r>
    <r>
      <rPr>
        <b val="true"/>
        <sz val="11"/>
        <color rgb="FFFFFFFF"/>
        <rFont val="宋体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空白</t>
    </r>
  </si>
  <si>
    <t xml:space="preserve">否</t>
  </si>
  <si>
    <t xml:space="preserve">通过</t>
  </si>
  <si>
    <r>
      <rPr>
        <sz val="10"/>
        <color rgb="FF111111"/>
        <rFont val="Noto Sans CJK SC"/>
        <family val="2"/>
      </rPr>
      <t xml:space="preserve">沿用</t>
    </r>
    <r>
      <rPr>
        <sz val="10"/>
        <color rgb="FF111111"/>
        <rFont val="宋体"/>
        <family val="0"/>
        <charset val="1"/>
      </rPr>
      <t xml:space="preserve">A</t>
    </r>
    <r>
      <rPr>
        <sz val="10"/>
        <color rgb="FF111111"/>
        <rFont val="Noto Sans CJK SC"/>
        <family val="2"/>
      </rPr>
      <t xml:space="preserve">复核版</t>
    </r>
  </si>
  <si>
    <t xml:space="preserve">未通过</t>
  </si>
  <si>
    <t xml:space="preserve">是</t>
  </si>
  <si>
    <t xml:space="preserve">助手辅助裁定</t>
  </si>
  <si>
    <r>
      <rPr>
        <b val="true"/>
        <sz val="11"/>
        <color rgb="FFFFFFFF"/>
        <rFont val="Noto Sans CJK SC"/>
        <family val="2"/>
      </rPr>
      <t xml:space="preserve">假设</t>
    </r>
    <r>
      <rPr>
        <b val="true"/>
        <sz val="11"/>
        <color rgb="FFFFFFFF"/>
        <rFont val="宋体"/>
        <family val="0"/>
        <charset val="1"/>
      </rPr>
      <t xml:space="preserve">API</t>
    </r>
    <r>
      <rPr>
        <b val="true"/>
        <sz val="11"/>
        <color rgb="FFFFFFFF"/>
        <rFont val="Noto Sans CJK SC"/>
        <family val="2"/>
      </rPr>
      <t xml:space="preserve">成本占比</t>
    </r>
  </si>
  <si>
    <r>
      <rPr>
        <b val="true"/>
        <sz val="11"/>
        <color rgb="FFFFFFFF"/>
        <rFont val="Noto Sans CJK SC"/>
        <family val="2"/>
      </rPr>
      <t xml:space="preserve">假设</t>
    </r>
    <r>
      <rPr>
        <b val="true"/>
        <sz val="11"/>
        <color rgb="FFFFFFFF"/>
        <rFont val="宋体"/>
        <family val="0"/>
        <charset val="1"/>
      </rPr>
      <t xml:space="preserve">API</t>
    </r>
    <r>
      <rPr>
        <b val="true"/>
        <sz val="11"/>
        <color rgb="FFFFFFFF"/>
        <rFont val="Noto Sans CJK SC"/>
        <family val="2"/>
      </rPr>
      <t xml:space="preserve">降价比例</t>
    </r>
  </si>
  <si>
    <t xml:space="preserve">总成本下降比例</t>
  </si>
  <si>
    <t xml:space="preserve">其他条件</t>
  </si>
  <si>
    <r>
      <rPr>
        <sz val="10"/>
        <color rgb="FF111111"/>
        <rFont val="Noto Sans CJK SC"/>
        <family val="2"/>
      </rPr>
      <t xml:space="preserve">质量</t>
    </r>
    <r>
      <rPr>
        <sz val="10"/>
        <color rgb="FF111111"/>
        <rFont val="宋体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用量</t>
    </r>
    <r>
      <rPr>
        <sz val="10"/>
        <color rgb="FF111111"/>
        <rFont val="宋体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人工</t>
    </r>
    <r>
      <rPr>
        <sz val="10"/>
        <color rgb="FF111111"/>
        <rFont val="宋体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合格数固定；非实测占比</t>
    </r>
  </si>
  <si>
    <t xml:space="preserve">假设小时价值</t>
  </si>
  <si>
    <t xml:space="preserve">假设分钟每条</t>
  </si>
  <si>
    <r>
      <rPr>
        <b val="true"/>
        <sz val="11"/>
        <color rgb="FFFFFFFF"/>
        <rFont val="Noto Sans CJK SC"/>
        <family val="2"/>
      </rPr>
      <t xml:space="preserve">平均</t>
    </r>
    <r>
      <rPr>
        <b val="true"/>
        <sz val="11"/>
        <color rgb="FFFFFFFF"/>
        <rFont val="宋体"/>
        <family val="0"/>
        <charset val="1"/>
      </rPr>
      <t xml:space="preserve">API</t>
    </r>
    <r>
      <rPr>
        <b val="true"/>
        <sz val="11"/>
        <color rgb="FFFFFFFF"/>
        <rFont val="Noto Sans CJK SC"/>
        <family val="2"/>
      </rPr>
      <t xml:space="preserve">费锚点</t>
    </r>
  </si>
  <si>
    <t xml:space="preserve">人工费用</t>
  </si>
  <si>
    <t xml:space="preserve">部分总额</t>
  </si>
  <si>
    <r>
      <rPr>
        <b val="true"/>
        <sz val="11"/>
        <color rgb="FFFFFFFF"/>
        <rFont val="宋体"/>
        <family val="0"/>
        <charset val="1"/>
      </rPr>
      <t xml:space="preserve">API</t>
    </r>
    <r>
      <rPr>
        <b val="true"/>
        <sz val="11"/>
        <color rgb="FFFFFFFF"/>
        <rFont val="Noto Sans CJK SC"/>
        <family val="2"/>
      </rPr>
      <t xml:space="preserve">降价</t>
    </r>
    <r>
      <rPr>
        <b val="true"/>
        <sz val="11"/>
        <color rgb="FFFFFFFF"/>
        <rFont val="宋体"/>
        <family val="0"/>
        <charset val="1"/>
      </rPr>
      <t xml:space="preserve">50%</t>
    </r>
    <r>
      <rPr>
        <b val="true"/>
        <sz val="11"/>
        <color rgb="FFFFFFFF"/>
        <rFont val="Noto Sans CJK SC"/>
        <family val="2"/>
      </rPr>
      <t xml:space="preserve">后部分总额</t>
    </r>
  </si>
  <si>
    <t xml:space="preserve">总额降幅</t>
  </si>
  <si>
    <t xml:space="preserve">情景；未计准备、部署及质量差异</t>
  </si>
  <si>
    <t xml:space="preserve">期间</t>
  </si>
  <si>
    <t xml:space="preserve">收入元</t>
  </si>
  <si>
    <t xml:space="preserve">销量台或套</t>
  </si>
  <si>
    <t xml:space="preserve">类别平均收入</t>
  </si>
  <si>
    <t xml:space="preserve">平均收入同比</t>
  </si>
  <si>
    <t xml:space="preserve">证据</t>
  </si>
  <si>
    <r>
      <rPr>
        <sz val="10"/>
        <color rgb="FF111111"/>
        <rFont val="Noto Sans CJK SC"/>
        <family val="2"/>
      </rPr>
      <t xml:space="preserve">苏泊尔年报原</t>
    </r>
    <r>
      <rPr>
        <sz val="10"/>
        <color rgb="FF111111"/>
        <rFont val="宋体"/>
        <family val="0"/>
        <charset val="1"/>
      </rPr>
      <t xml:space="preserve">13—14</t>
    </r>
    <r>
      <rPr>
        <sz val="10"/>
        <color rgb="FF111111"/>
        <rFont val="Noto Sans CJK SC"/>
        <family val="2"/>
      </rPr>
      <t xml:space="preserve">页</t>
    </r>
  </si>
  <si>
    <t xml:space="preserve">推导值，不是同款价格</t>
  </si>
  <si>
    <t xml:space="preserve">编号</t>
  </si>
  <si>
    <t xml:space="preserve">文献</t>
  </si>
  <si>
    <t xml:space="preserve">类型</t>
  </si>
  <si>
    <t xml:space="preserve">样本</t>
  </si>
  <si>
    <t xml:space="preserve">指标</t>
  </si>
  <si>
    <t xml:space="preserve">结论边界</t>
  </si>
  <si>
    <t xml:space="preserve">正文页码</t>
  </si>
  <si>
    <r>
      <rPr>
        <b val="true"/>
        <sz val="11"/>
        <color rgb="FFFFFFFF"/>
        <rFont val="宋体"/>
        <family val="0"/>
        <charset val="1"/>
      </rPr>
      <t xml:space="preserve">PDF</t>
    </r>
    <r>
      <rPr>
        <b val="true"/>
        <sz val="11"/>
        <color rgb="FFFFFFFF"/>
        <rFont val="Noto Sans CJK SC"/>
        <family val="2"/>
      </rPr>
      <t xml:space="preserve">对应</t>
    </r>
  </si>
  <si>
    <t xml:space="preserve">链接</t>
  </si>
  <si>
    <t xml:space="preserve">3</t>
  </si>
  <si>
    <r>
      <rPr>
        <sz val="10"/>
        <color rgb="FF111111"/>
        <rFont val="宋体"/>
        <family val="0"/>
        <charset val="1"/>
      </rPr>
      <t xml:space="preserve">Chen</t>
    </r>
    <r>
      <rPr>
        <sz val="10"/>
        <color rgb="FF111111"/>
        <rFont val="Noto Sans CJK SC"/>
        <family val="2"/>
      </rPr>
      <t xml:space="preserve">等，</t>
    </r>
    <r>
      <rPr>
        <sz val="10"/>
        <color rgb="FF111111"/>
        <rFont val="宋体"/>
        <family val="0"/>
        <charset val="1"/>
      </rPr>
      <t xml:space="preserve">2025-08-05</t>
    </r>
  </si>
  <si>
    <t xml:space="preserve">工作稿，非期刊</t>
  </si>
  <si>
    <r>
      <rPr>
        <sz val="10"/>
        <color rgb="FF111111"/>
        <rFont val="宋体"/>
        <family val="0"/>
        <charset val="1"/>
      </rPr>
      <t xml:space="preserve">4680</t>
    </r>
    <r>
      <rPr>
        <sz val="10"/>
        <color rgb="FF111111"/>
        <rFont val="Noto Sans CJK SC"/>
        <family val="2"/>
      </rPr>
      <t xml:space="preserve">公司；</t>
    </r>
    <r>
      <rPr>
        <sz val="10"/>
        <color rgb="FF111111"/>
        <rFont val="宋体"/>
        <family val="0"/>
        <charset val="1"/>
      </rPr>
      <t xml:space="preserve">7818963</t>
    </r>
    <r>
      <rPr>
        <sz val="10"/>
        <color rgb="FF111111"/>
        <rFont val="Noto Sans CJK SC"/>
        <family val="2"/>
      </rPr>
      <t xml:space="preserve">公司—交易日</t>
    </r>
  </si>
  <si>
    <r>
      <rPr>
        <sz val="10"/>
        <color rgb="FF111111"/>
        <rFont val="Noto Sans CJK SC"/>
        <family val="2"/>
      </rPr>
      <t xml:space="preserve">报价价差；提问</t>
    </r>
    <r>
      <rPr>
        <sz val="10"/>
        <color rgb="FF111111"/>
        <rFont val="宋体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评论及回复分类</t>
    </r>
  </si>
  <si>
    <r>
      <rPr>
        <sz val="10"/>
        <color rgb="FF111111"/>
        <rFont val="Noto Sans CJK SC"/>
        <family val="2"/>
      </rPr>
      <t xml:space="preserve">质量关联不能当</t>
    </r>
    <r>
      <rPr>
        <sz val="10"/>
        <color rgb="FF111111"/>
        <rFont val="宋体"/>
        <family val="0"/>
        <charset val="1"/>
      </rPr>
      <t xml:space="preserve">AI</t>
    </r>
    <r>
      <rPr>
        <sz val="10"/>
        <color rgb="FF111111"/>
        <rFont val="Noto Sans CJK SC"/>
        <family val="2"/>
      </rPr>
      <t xml:space="preserve">生成准确率或因果</t>
    </r>
  </si>
  <si>
    <r>
      <rPr>
        <sz val="10"/>
        <color rgb="FF111111"/>
        <rFont val="宋体"/>
        <family val="0"/>
        <charset val="1"/>
      </rPr>
      <t xml:space="preserve">9—10</t>
    </r>
    <r>
      <rPr>
        <sz val="10"/>
        <color rgb="FF111111"/>
        <rFont val="Noto Sans CJK SC"/>
        <family val="2"/>
      </rPr>
      <t xml:space="preserve">；</t>
    </r>
    <r>
      <rPr>
        <sz val="10"/>
        <color rgb="FF111111"/>
        <rFont val="宋体"/>
        <family val="0"/>
        <charset val="1"/>
      </rPr>
      <t xml:space="preserve">18—21</t>
    </r>
    <r>
      <rPr>
        <sz val="10"/>
        <color rgb="FF111111"/>
        <rFont val="Noto Sans CJK SC"/>
        <family val="2"/>
      </rPr>
      <t xml:space="preserve">；表</t>
    </r>
    <r>
      <rPr>
        <sz val="10"/>
        <color rgb="FF111111"/>
        <rFont val="宋体"/>
        <family val="0"/>
        <charset val="1"/>
      </rPr>
      <t xml:space="preserve">6B 45</t>
    </r>
  </si>
  <si>
    <r>
      <rPr>
        <sz val="10"/>
        <color rgb="FF111111"/>
        <rFont val="Noto Sans CJK SC"/>
        <family val="2"/>
      </rPr>
      <t xml:space="preserve">正文</t>
    </r>
    <r>
      <rPr>
        <sz val="10"/>
        <color rgb="FF111111"/>
        <rFont val="宋体"/>
        <family val="0"/>
        <charset val="1"/>
      </rPr>
      <t xml:space="preserve">+1</t>
    </r>
  </si>
  <si>
    <t xml:space="preserve">https://papers.ssrn.com/sol3/papers.cfm?abstract_id=4281898</t>
  </si>
  <si>
    <t xml:space="preserve">4</t>
  </si>
  <si>
    <r>
      <rPr>
        <sz val="10"/>
        <color rgb="FF111111"/>
        <rFont val="Noto Sans CJK SC"/>
        <family val="2"/>
      </rPr>
      <t xml:space="preserve">徐寿福、郑迎飞、罗雨杰，</t>
    </r>
    <r>
      <rPr>
        <sz val="10"/>
        <color rgb="FF111111"/>
        <rFont val="宋体"/>
        <family val="0"/>
        <charset val="1"/>
      </rPr>
      <t xml:space="preserve">2022</t>
    </r>
  </si>
  <si>
    <r>
      <rPr>
        <sz val="10"/>
        <color rgb="FF111111"/>
        <rFont val="Noto Sans CJK SC"/>
        <family val="2"/>
      </rPr>
      <t xml:space="preserve">财经研究</t>
    </r>
    <r>
      <rPr>
        <sz val="10"/>
        <color rgb="FF111111"/>
        <rFont val="宋体"/>
        <family val="0"/>
        <charset val="1"/>
      </rPr>
      <t xml:space="preserve">48(10):153—168</t>
    </r>
  </si>
  <si>
    <r>
      <rPr>
        <sz val="10"/>
        <color rgb="FF111111"/>
        <rFont val="宋体"/>
        <family val="0"/>
        <charset val="1"/>
      </rPr>
      <t xml:space="preserve">92155</t>
    </r>
    <r>
      <rPr>
        <sz val="10"/>
        <color rgb="FF111111"/>
        <rFont val="Noto Sans CJK SC"/>
        <family val="2"/>
      </rPr>
      <t xml:space="preserve">公司—季度</t>
    </r>
  </si>
  <si>
    <r>
      <rPr>
        <sz val="10"/>
        <color rgb="FF111111"/>
        <rFont val="Noto Sans CJK SC"/>
        <family val="2"/>
      </rPr>
      <t xml:space="preserve">互动频次</t>
    </r>
    <r>
      <rPr>
        <sz val="10"/>
        <color rgb="FF111111"/>
        <rFont val="宋体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文本；残差波动</t>
    </r>
  </si>
  <si>
    <r>
      <rPr>
        <sz val="10"/>
        <color rgb="FF111111"/>
        <rFont val="Noto Sans CJK SC"/>
        <family val="2"/>
      </rPr>
      <t xml:space="preserve">互动与风险关系不证明</t>
    </r>
    <r>
      <rPr>
        <sz val="10"/>
        <color rgb="FF111111"/>
        <rFont val="宋体"/>
        <family val="0"/>
        <charset val="1"/>
      </rPr>
      <t xml:space="preserve">AI</t>
    </r>
    <r>
      <rPr>
        <sz val="10"/>
        <color rgb="FF111111"/>
        <rFont val="Noto Sans CJK SC"/>
        <family val="2"/>
      </rPr>
      <t xml:space="preserve">造成风险</t>
    </r>
  </si>
  <si>
    <r>
      <rPr>
        <sz val="10"/>
        <color rgb="FF111111"/>
        <rFont val="宋体"/>
        <family val="0"/>
        <charset val="1"/>
      </rPr>
      <t xml:space="preserve">156—159</t>
    </r>
    <r>
      <rPr>
        <sz val="10"/>
        <color rgb="FF111111"/>
        <rFont val="Noto Sans CJK SC"/>
        <family val="2"/>
      </rPr>
      <t xml:space="preserve">；</t>
    </r>
    <r>
      <rPr>
        <sz val="10"/>
        <color rgb="FF111111"/>
        <rFont val="宋体"/>
        <family val="0"/>
        <charset val="1"/>
      </rPr>
      <t xml:space="preserve">162</t>
    </r>
  </si>
  <si>
    <r>
      <rPr>
        <sz val="10"/>
        <color rgb="FF111111"/>
        <rFont val="Noto Sans CJK SC"/>
        <family val="2"/>
      </rPr>
      <t xml:space="preserve">印刷页</t>
    </r>
    <r>
      <rPr>
        <sz val="10"/>
        <color rgb="FF111111"/>
        <rFont val="宋体"/>
        <family val="0"/>
        <charset val="1"/>
      </rPr>
      <t xml:space="preserve">-152</t>
    </r>
  </si>
  <si>
    <t xml:space="preserve">https://qks.shufe.edu.cn/j/PDFFull/17794c14-b22d-4e71-b91b-053fc480a45a.pdf</t>
  </si>
  <si>
    <t xml:space="preserve">5</t>
  </si>
  <si>
    <r>
      <rPr>
        <sz val="10"/>
        <color rgb="FF111111"/>
        <rFont val="Noto Sans CJK SC"/>
        <family val="2"/>
      </rPr>
      <t xml:space="preserve">樊犇、吴燕博、刘恒源，</t>
    </r>
    <r>
      <rPr>
        <sz val="10"/>
        <color rgb="FF111111"/>
        <rFont val="宋体"/>
        <family val="0"/>
        <charset val="1"/>
      </rPr>
      <t xml:space="preserve">2026</t>
    </r>
  </si>
  <si>
    <r>
      <rPr>
        <sz val="10"/>
        <color rgb="FF111111"/>
        <rFont val="Noto Sans CJK SC"/>
        <family val="2"/>
      </rPr>
      <t xml:space="preserve">审计与经济研究</t>
    </r>
    <r>
      <rPr>
        <sz val="10"/>
        <color rgb="FF111111"/>
        <rFont val="宋体"/>
        <family val="0"/>
        <charset val="1"/>
      </rPr>
      <t xml:space="preserve">41(4):94—104</t>
    </r>
  </si>
  <si>
    <r>
      <rPr>
        <sz val="10"/>
        <color rgb="FF111111"/>
        <rFont val="宋体"/>
        <family val="0"/>
        <charset val="1"/>
      </rPr>
      <t xml:space="preserve">25996</t>
    </r>
    <r>
      <rPr>
        <sz val="10"/>
        <color rgb="FF111111"/>
        <rFont val="Noto Sans CJK SC"/>
        <family val="2"/>
      </rPr>
      <t xml:space="preserve">公司—年度</t>
    </r>
  </si>
  <si>
    <r>
      <rPr>
        <sz val="10"/>
        <color rgb="FF111111"/>
        <rFont val="宋体"/>
        <family val="0"/>
        <charset val="1"/>
      </rPr>
      <t xml:space="preserve">LLM</t>
    </r>
    <r>
      <rPr>
        <sz val="10"/>
        <color rgb="FF111111"/>
        <rFont val="Noto Sans CJK SC"/>
        <family val="2"/>
      </rPr>
      <t xml:space="preserve">识别监督；真实盈余管理</t>
    </r>
  </si>
  <si>
    <r>
      <rPr>
        <sz val="10"/>
        <color rgb="FF111111"/>
        <rFont val="宋体"/>
        <family val="0"/>
        <charset val="1"/>
      </rPr>
      <t xml:space="preserve">LLM</t>
    </r>
    <r>
      <rPr>
        <sz val="10"/>
        <color rgb="FF111111"/>
        <rFont val="Noto Sans CJK SC"/>
        <family val="2"/>
      </rPr>
      <t xml:space="preserve">文本测量不等于生成回复可靠</t>
    </r>
  </si>
  <si>
    <t xml:space="preserve">97—101</t>
  </si>
  <si>
    <r>
      <rPr>
        <sz val="10"/>
        <color rgb="FF111111"/>
        <rFont val="Noto Sans CJK SC"/>
        <family val="2"/>
      </rPr>
      <t xml:space="preserve">印刷页</t>
    </r>
    <r>
      <rPr>
        <sz val="10"/>
        <color rgb="FF111111"/>
        <rFont val="宋体"/>
        <family val="0"/>
        <charset val="1"/>
      </rPr>
      <t xml:space="preserve">-93</t>
    </r>
  </si>
  <si>
    <t xml:space="preserve">https://xbbjb.nau.edu.cn/sjyjjyj/article/abstract/20260204010</t>
  </si>
  <si>
    <t xml:space="preserve">事项</t>
  </si>
  <si>
    <t xml:space="preserve">当前状态</t>
  </si>
  <si>
    <t xml:space="preserve">操作</t>
  </si>
  <si>
    <t xml:space="preserve">依据</t>
  </si>
  <si>
    <t xml:space="preserve">赛场</t>
  </si>
  <si>
    <t xml:space="preserve">已确认</t>
  </si>
  <si>
    <t xml:space="preserve">仅天津大学分赛场</t>
  </si>
  <si>
    <r>
      <rPr>
        <sz val="10"/>
        <color rgb="FF111111"/>
        <rFont val="Noto Sans CJK SC"/>
        <family val="2"/>
      </rPr>
      <t xml:space="preserve">用户</t>
    </r>
    <r>
      <rPr>
        <sz val="10"/>
        <color rgb="FF111111"/>
        <rFont val="宋体"/>
        <family val="0"/>
        <charset val="1"/>
      </rPr>
      <t xml:space="preserve">10/28</t>
    </r>
    <r>
      <rPr>
        <sz val="10"/>
        <color rgb="FF111111"/>
        <rFont val="Noto Sans CJK SC"/>
        <family val="2"/>
      </rPr>
      <t xml:space="preserve">确认；手册</t>
    </r>
    <r>
      <rPr>
        <sz val="10"/>
        <color rgb="FF111111"/>
        <rFont val="宋体"/>
        <family val="0"/>
        <charset val="1"/>
      </rPr>
      <t xml:space="preserve">16—18</t>
    </r>
    <r>
      <rPr>
        <sz val="10"/>
        <color rgb="FF111111"/>
        <rFont val="Noto Sans CJK SC"/>
        <family val="2"/>
      </rPr>
      <t xml:space="preserve">页</t>
    </r>
  </si>
  <si>
    <t xml:space="preserve">截止</t>
  </si>
  <si>
    <r>
      <rPr>
        <sz val="10"/>
        <color rgb="FF111111"/>
        <rFont val="宋体"/>
        <family val="0"/>
        <charset val="1"/>
      </rPr>
      <t xml:space="preserve">2026-10-29 22:00</t>
    </r>
    <r>
      <rPr>
        <sz val="10"/>
        <color rgb="FF111111"/>
        <rFont val="Noto Sans CJK SC"/>
        <family val="2"/>
      </rPr>
      <t xml:space="preserve">前，内部</t>
    </r>
    <r>
      <rPr>
        <sz val="10"/>
        <color rgb="FF111111"/>
        <rFont val="宋体"/>
        <family val="0"/>
        <charset val="1"/>
      </rPr>
      <t xml:space="preserve">18:00</t>
    </r>
  </si>
  <si>
    <t xml:space="preserve">用户确认天大通知有效</t>
  </si>
  <si>
    <t xml:space="preserve">邮箱</t>
  </si>
  <si>
    <r>
      <rPr>
        <sz val="10"/>
        <color rgb="FF111111"/>
        <rFont val="宋体"/>
        <family val="0"/>
        <charset val="1"/>
      </rPr>
      <t xml:space="preserve">tjucomers2026@163.com</t>
    </r>
    <r>
      <rPr>
        <sz val="10"/>
        <color rgb="FF111111"/>
        <rFont val="Noto Sans CJK SC"/>
        <family val="2"/>
      </rPr>
      <t xml:space="preserve">；发送</t>
    </r>
    <r>
      <rPr>
        <sz val="10"/>
        <color rgb="FF111111"/>
        <rFont val="宋体"/>
        <family val="0"/>
        <charset val="1"/>
      </rPr>
      <t xml:space="preserve">Word</t>
    </r>
    <r>
      <rPr>
        <sz val="10"/>
        <color rgb="FF111111"/>
        <rFont val="Noto Sans CJK SC"/>
        <family val="2"/>
      </rPr>
      <t xml:space="preserve">和</t>
    </r>
    <r>
      <rPr>
        <sz val="10"/>
        <color rgb="FF111111"/>
        <rFont val="宋体"/>
        <family val="0"/>
        <charset val="1"/>
      </rPr>
      <t xml:space="preserve">PDF</t>
    </r>
  </si>
  <si>
    <t xml:space="preserve">用户确认；助手未代发</t>
  </si>
  <si>
    <t xml:space="preserve">署名</t>
  </si>
  <si>
    <t xml:space="preserve">金金有味队；李牧轩 刘铠侨 李泽锴 黄玺诺</t>
  </si>
  <si>
    <t xml:space="preserve">用户提供</t>
  </si>
  <si>
    <t xml:space="preserve">电话邮箱</t>
  </si>
  <si>
    <t xml:space="preserve">不在公开稿中收集</t>
  </si>
  <si>
    <t xml:space="preserve">队长本地补入正式提交文件名</t>
  </si>
  <si>
    <t xml:space="preserve">手册命名格式及本地通知</t>
  </si>
  <si>
    <t xml:space="preserve">全文字数</t>
  </si>
  <si>
    <t xml:space="preserve">程序检查后记录</t>
  </si>
  <si>
    <r>
      <rPr>
        <sz val="10"/>
        <color rgb="FF111111"/>
        <rFont val="Noto Sans CJK SC"/>
        <family val="2"/>
      </rPr>
      <t xml:space="preserve">全文含附录、参考文献、文本框、脚注尾注均控制</t>
    </r>
    <r>
      <rPr>
        <sz val="10"/>
        <color rgb="FF111111"/>
        <rFont val="宋体"/>
        <family val="0"/>
        <charset val="1"/>
      </rPr>
      <t xml:space="preserve">30000</t>
    </r>
    <r>
      <rPr>
        <sz val="10"/>
        <color rgb="FF111111"/>
        <rFont val="Noto Sans CJK SC"/>
        <family val="2"/>
      </rPr>
      <t xml:space="preserve">以内</t>
    </r>
  </si>
  <si>
    <r>
      <rPr>
        <sz val="10"/>
        <color rgb="FF111111"/>
        <rFont val="Noto Sans CJK SC"/>
        <family val="2"/>
      </rPr>
      <t xml:space="preserve">手册</t>
    </r>
    <r>
      <rPr>
        <sz val="10"/>
        <color rgb="FF111111"/>
        <rFont val="宋体"/>
        <family val="0"/>
        <charset val="1"/>
      </rPr>
      <t xml:space="preserve">18</t>
    </r>
    <r>
      <rPr>
        <sz val="10"/>
        <color rgb="FF111111"/>
        <rFont val="Noto Sans CJK SC"/>
        <family val="2"/>
      </rPr>
      <t xml:space="preserve">页</t>
    </r>
  </si>
  <si>
    <t xml:space="preserve">字体</t>
  </si>
  <si>
    <r>
      <rPr>
        <sz val="10"/>
        <color rgb="FF111111"/>
        <rFont val="宋体"/>
        <family val="0"/>
        <charset val="1"/>
      </rPr>
      <t xml:space="preserve">Word</t>
    </r>
    <r>
      <rPr>
        <sz val="10"/>
        <color rgb="FF111111"/>
        <rFont val="Noto Sans CJK SC"/>
        <family val="2"/>
      </rPr>
      <t xml:space="preserve">已设；</t>
    </r>
    <r>
      <rPr>
        <sz val="10"/>
        <color rgb="FF111111"/>
        <rFont val="宋体"/>
        <family val="0"/>
        <charset val="1"/>
      </rPr>
      <t xml:space="preserve">PDF</t>
    </r>
    <r>
      <rPr>
        <sz val="10"/>
        <color rgb="FF111111"/>
        <rFont val="Noto Sans CJK SC"/>
        <family val="2"/>
      </rPr>
      <t xml:space="preserve">环境替代</t>
    </r>
  </si>
  <si>
    <r>
      <rPr>
        <sz val="10"/>
        <color rgb="FF111111"/>
        <rFont val="Noto Sans CJK SC"/>
        <family val="2"/>
      </rPr>
      <t xml:space="preserve">有宋体</t>
    </r>
    <r>
      <rPr>
        <sz val="10"/>
        <color rgb="FF111111"/>
        <rFont val="宋体"/>
        <family val="0"/>
        <charset val="1"/>
      </rPr>
      <t xml:space="preserve">/Times New Roman</t>
    </r>
    <r>
      <rPr>
        <sz val="10"/>
        <color rgb="FF111111"/>
        <rFont val="Noto Sans CJK SC"/>
        <family val="2"/>
      </rPr>
      <t xml:space="preserve">电脑本地打开</t>
    </r>
    <r>
      <rPr>
        <sz val="10"/>
        <color rgb="FF111111"/>
        <rFont val="宋体"/>
        <family val="0"/>
        <charset val="1"/>
      </rPr>
      <t xml:space="preserve">Word</t>
    </r>
    <r>
      <rPr>
        <sz val="10"/>
        <color rgb="FF111111"/>
        <rFont val="Noto Sans CJK SC"/>
        <family val="2"/>
      </rPr>
      <t xml:space="preserve">重新导出</t>
    </r>
    <r>
      <rPr>
        <sz val="10"/>
        <color rgb="FF111111"/>
        <rFont val="宋体"/>
        <family val="0"/>
        <charset val="1"/>
      </rPr>
      <t xml:space="preserve">PDF</t>
    </r>
  </si>
  <si>
    <t xml:space="preserve">当前环境缺规定字体</t>
  </si>
  <si>
    <r>
      <rPr>
        <sz val="10"/>
        <color rgb="FF111111"/>
        <rFont val="宋体"/>
        <family val="0"/>
        <charset val="1"/>
      </rPr>
      <t xml:space="preserve">D</t>
    </r>
    <r>
      <rPr>
        <sz val="10"/>
        <color rgb="FF111111"/>
        <rFont val="Noto Sans CJK SC"/>
        <family val="2"/>
      </rPr>
      <t xml:space="preserve">评分</t>
    </r>
  </si>
  <si>
    <t xml:space="preserve">未回收</t>
  </si>
  <si>
    <r>
      <rPr>
        <sz val="10"/>
        <color rgb="FF111111"/>
        <rFont val="Noto Sans CJK SC"/>
        <family val="2"/>
      </rPr>
      <t xml:space="preserve">收到后保留独立版，更新第</t>
    </r>
    <r>
      <rPr>
        <sz val="10"/>
        <color rgb="FF111111"/>
        <rFont val="宋体"/>
        <family val="0"/>
        <charset val="1"/>
      </rPr>
      <t xml:space="preserve">3.5/4.4</t>
    </r>
    <r>
      <rPr>
        <sz val="10"/>
        <color rgb="FF111111"/>
        <rFont val="Noto Sans CJK SC"/>
        <family val="2"/>
      </rPr>
      <t xml:space="preserve">及摘要附录</t>
    </r>
  </si>
  <si>
    <t xml:space="preserve">现有仅单人和助手辅助</t>
  </si>
  <si>
    <r>
      <rPr>
        <sz val="10"/>
        <color rgb="FF111111"/>
        <rFont val="宋体"/>
        <family val="0"/>
        <charset val="1"/>
      </rPr>
      <t xml:space="preserve">C</t>
    </r>
    <r>
      <rPr>
        <sz val="10"/>
        <color rgb="FF111111"/>
        <rFont val="Noto Sans CJK SC"/>
        <family val="2"/>
      </rPr>
      <t xml:space="preserve">账单</t>
    </r>
  </si>
  <si>
    <r>
      <rPr>
        <sz val="10"/>
        <color rgb="FF111111"/>
        <rFont val="Noto Sans CJK SC"/>
        <family val="2"/>
      </rPr>
      <t xml:space="preserve">实付缺失则保留参考价标签，不填</t>
    </r>
    <r>
      <rPr>
        <sz val="10"/>
        <color rgb="FF111111"/>
        <rFont val="宋体"/>
        <family val="0"/>
        <charset val="1"/>
      </rPr>
      <t xml:space="preserve">0</t>
    </r>
  </si>
  <si>
    <t xml:space="preserve">费用来源</t>
  </si>
  <si>
    <t xml:space="preserve">新增样本</t>
  </si>
  <si>
    <t xml:space="preserve">待核验</t>
  </si>
  <si>
    <t xml:space="preserve">合格来源补入收集状态；无新调用不能增加实验数</t>
  </si>
  <si>
    <t xml:space="preserve">时间截止原则</t>
  </si>
  <si>
    <t xml:space="preserve">附件一致</t>
  </si>
  <si>
    <t xml:space="preserve">待最终本地导出</t>
  </si>
  <si>
    <r>
      <rPr>
        <sz val="10"/>
        <color rgb="FF111111"/>
        <rFont val="Noto Sans CJK SC"/>
        <family val="2"/>
      </rPr>
      <t xml:space="preserve">打开</t>
    </r>
    <r>
      <rPr>
        <sz val="10"/>
        <color rgb="FF111111"/>
        <rFont val="宋体"/>
        <family val="0"/>
        <charset val="1"/>
      </rPr>
      <t xml:space="preserve">Word/PDF</t>
    </r>
    <r>
      <rPr>
        <sz val="10"/>
        <color rgb="FF111111"/>
        <rFont val="Noto Sans CJK SC"/>
        <family val="2"/>
      </rPr>
      <t xml:space="preserve">逐页检查图表、字体、目录及页码</t>
    </r>
  </si>
  <si>
    <t xml:space="preserve">提交前</t>
  </si>
  <si>
    <t xml:space="preserve">发送回执</t>
  </si>
  <si>
    <t xml:space="preserve">未发送</t>
  </si>
  <si>
    <r>
      <rPr>
        <sz val="10"/>
        <color rgb="FF111111"/>
        <rFont val="Noto Sans CJK SC"/>
        <family val="2"/>
      </rPr>
      <t xml:space="preserve">核对邮箱</t>
    </r>
    <r>
      <rPr>
        <sz val="10"/>
        <color rgb="FF111111"/>
        <rFont val="宋体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文件名</t>
    </r>
    <r>
      <rPr>
        <sz val="10"/>
        <color rgb="FF111111"/>
        <rFont val="宋体"/>
        <family val="0"/>
        <charset val="1"/>
      </rPr>
      <t xml:space="preserve">/</t>
    </r>
    <r>
      <rPr>
        <sz val="10"/>
        <color rgb="FF111111"/>
        <rFont val="Noto Sans CJK SC"/>
        <family val="2"/>
      </rPr>
      <t xml:space="preserve">附件可读，保存发送及回执</t>
    </r>
  </si>
  <si>
    <t xml:space="preserve">队长执行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</si>
</sst>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0"/>
    <numFmt numFmtId="166" formatCode="0.00%"/>
    <numFmt numFmtId="167" formatCode="0.0000%"/>
    <numFmt numFmtId="168" formatCode="0.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color rgb="FF111111"/>
      <name val="Noto Sans CJK SC"/>
      <family val="2"/>
    </font>
    <font>
      <sz val="10"/>
      <color rgb="FF111111"/>
      <name val="宋体"/>
      <family val="0"/>
      <charset val="1"/>
    </font>
    <font>
      <b val="true"/>
      <sz val="11"/>
      <color rgb="FFFFFFFF"/>
      <name val="宋体"/>
      <family val="0"/>
      <charset val="1"/>
    </font>
    <font>
      <sz val="10"/>
      <color rgb="FF24576B"/>
      <name val="宋体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4576B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57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2457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8"/>
    <col collapsed="false" customWidth="true" hidden="false" outlineLevel="0" max="3" min="3" style="0" width="70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42" hidden="false" customHeight="true" outlineLevel="0" collapsed="false">
      <c r="A2" s="2" t="s">
        <v>2</v>
      </c>
      <c r="B2" s="3" t="s">
        <v>3</v>
      </c>
    </row>
    <row r="3" customFormat="false" ht="42" hidden="false" customHeight="true" outlineLevel="0" collapsed="false">
      <c r="A3" s="2" t="s">
        <v>4</v>
      </c>
      <c r="B3" s="2" t="s">
        <v>5</v>
      </c>
    </row>
    <row r="4" customFormat="false" ht="42" hidden="false" customHeight="true" outlineLevel="0" collapsed="false">
      <c r="A4" s="2" t="s">
        <v>6</v>
      </c>
      <c r="B4" s="2" t="s">
        <v>7</v>
      </c>
    </row>
    <row r="5" customFormat="false" ht="42" hidden="false" customHeight="true" outlineLevel="0" collapsed="false">
      <c r="A5" s="2" t="s">
        <v>8</v>
      </c>
      <c r="B5" s="2" t="s">
        <v>9</v>
      </c>
    </row>
    <row r="6" customFormat="false" ht="42" hidden="false" customHeight="true" outlineLevel="0" collapsed="false">
      <c r="A6" s="2" t="s">
        <v>10</v>
      </c>
      <c r="B6" s="2" t="s">
        <v>11</v>
      </c>
    </row>
    <row r="7" customFormat="false" ht="42" hidden="false" customHeight="true" outlineLevel="0" collapsed="false">
      <c r="A7" s="2" t="s">
        <v>12</v>
      </c>
      <c r="B7" s="3" t="s">
        <v>13</v>
      </c>
    </row>
    <row r="8" customFormat="false" ht="42" hidden="false" customHeight="true" outlineLevel="0" collapsed="false">
      <c r="A8" s="2" t="s">
        <v>14</v>
      </c>
      <c r="B8" s="3" t="s">
        <v>15</v>
      </c>
    </row>
    <row r="9" customFormat="false" ht="42" hidden="false" customHeight="true" outlineLevel="0" collapsed="false">
      <c r="A9" s="2" t="s">
        <v>16</v>
      </c>
      <c r="B9" s="3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5" min="1" style="0" width="21"/>
  </cols>
  <sheetData>
    <row r="1" customFormat="false" ht="31.5" hidden="false" customHeight="tru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customFormat="false" ht="42" hidden="false" customHeight="true" outlineLevel="0" collapsed="false">
      <c r="A2" s="3" t="s">
        <v>33</v>
      </c>
      <c r="B2" s="3" t="s">
        <v>34</v>
      </c>
      <c r="C2" s="2" t="s">
        <v>35</v>
      </c>
      <c r="D2" s="3" t="s">
        <v>36</v>
      </c>
      <c r="E2" s="4" t="n">
        <v>1339</v>
      </c>
      <c r="F2" s="4" t="n">
        <v>276</v>
      </c>
      <c r="G2" s="4" t="n">
        <v>0.2</v>
      </c>
      <c r="H2" s="4" t="n">
        <v>0.8</v>
      </c>
      <c r="I2" s="5" t="n">
        <f aca="false">(E2*G2+F2*H2)/1000000</f>
        <v>0.0004886</v>
      </c>
      <c r="J2" s="6" t="n">
        <v>0.0004886</v>
      </c>
      <c r="K2" s="5" t="n">
        <f aca="false">I2-J2</f>
        <v>0</v>
      </c>
      <c r="L2" s="4" t="n">
        <v>0</v>
      </c>
      <c r="M2" s="3" t="s">
        <v>37</v>
      </c>
      <c r="N2" s="2"/>
      <c r="O2" s="2" t="s">
        <v>38</v>
      </c>
    </row>
    <row r="3" customFormat="false" ht="42" hidden="false" customHeight="true" outlineLevel="0" collapsed="false">
      <c r="A3" s="3" t="s">
        <v>39</v>
      </c>
      <c r="B3" s="3" t="s">
        <v>40</v>
      </c>
      <c r="C3" s="3" t="s">
        <v>41</v>
      </c>
      <c r="D3" s="3" t="s">
        <v>36</v>
      </c>
      <c r="E3" s="4" t="n">
        <v>3737</v>
      </c>
      <c r="F3" s="4" t="n">
        <v>229</v>
      </c>
      <c r="G3" s="4" t="n">
        <v>1</v>
      </c>
      <c r="H3" s="4" t="n">
        <v>4</v>
      </c>
      <c r="I3" s="5" t="n">
        <f aca="false">(E3*G3+F3*H3)/1000000</f>
        <v>0.004653</v>
      </c>
      <c r="J3" s="6" t="n">
        <v>0.004653</v>
      </c>
      <c r="K3" s="5" t="n">
        <f aca="false">I3-J3</f>
        <v>0</v>
      </c>
      <c r="L3" s="4" t="n">
        <v>0</v>
      </c>
      <c r="M3" s="3" t="s">
        <v>42</v>
      </c>
      <c r="N3" s="2"/>
      <c r="O3" s="2" t="s">
        <v>38</v>
      </c>
    </row>
    <row r="4" customFormat="false" ht="42" hidden="false" customHeight="true" outlineLevel="0" collapsed="false">
      <c r="A4" s="3" t="s">
        <v>43</v>
      </c>
      <c r="B4" s="3" t="s">
        <v>34</v>
      </c>
      <c r="C4" s="3" t="s">
        <v>41</v>
      </c>
      <c r="D4" s="3" t="s">
        <v>44</v>
      </c>
      <c r="E4" s="4" t="n">
        <v>1104</v>
      </c>
      <c r="F4" s="4" t="n">
        <v>123</v>
      </c>
      <c r="G4" s="4" t="n">
        <v>1</v>
      </c>
      <c r="H4" s="4" t="n">
        <v>4</v>
      </c>
      <c r="I4" s="5" t="n">
        <f aca="false">(E4*G4+F4*H4)/1000000</f>
        <v>0.001596</v>
      </c>
      <c r="J4" s="6" t="n">
        <v>0.001596</v>
      </c>
      <c r="K4" s="5" t="n">
        <f aca="false">I4-J4</f>
        <v>0</v>
      </c>
      <c r="L4" s="4" t="n">
        <v>0</v>
      </c>
      <c r="M4" s="3" t="s">
        <v>45</v>
      </c>
      <c r="N4" s="2"/>
      <c r="O4" s="2" t="s">
        <v>38</v>
      </c>
    </row>
    <row r="5" customFormat="false" ht="42" hidden="false" customHeight="true" outlineLevel="0" collapsed="false">
      <c r="A5" s="3" t="s">
        <v>46</v>
      </c>
      <c r="B5" s="3" t="s">
        <v>40</v>
      </c>
      <c r="C5" s="2" t="s">
        <v>35</v>
      </c>
      <c r="D5" s="3" t="s">
        <v>44</v>
      </c>
      <c r="E5" s="4" t="n">
        <v>4530</v>
      </c>
      <c r="F5" s="4" t="n">
        <v>192</v>
      </c>
      <c r="G5" s="4" t="n">
        <v>0.2</v>
      </c>
      <c r="H5" s="4" t="n">
        <v>0.8</v>
      </c>
      <c r="I5" s="5" t="n">
        <f aca="false">(E5*G5+F5*H5)/1000000</f>
        <v>0.0010596</v>
      </c>
      <c r="J5" s="6" t="n">
        <v>0.0010596</v>
      </c>
      <c r="K5" s="5" t="n">
        <f aca="false">I5-J5</f>
        <v>0</v>
      </c>
      <c r="L5" s="4" t="n">
        <v>0</v>
      </c>
      <c r="M5" s="3" t="s">
        <v>47</v>
      </c>
      <c r="N5" s="2"/>
      <c r="O5" s="2" t="s">
        <v>38</v>
      </c>
    </row>
    <row r="6" customFormat="false" ht="42" hidden="false" customHeight="true" outlineLevel="0" collapsed="false">
      <c r="A6" s="3" t="s">
        <v>48</v>
      </c>
      <c r="B6" s="3" t="s">
        <v>40</v>
      </c>
      <c r="C6" s="2" t="s">
        <v>35</v>
      </c>
      <c r="D6" s="3" t="s">
        <v>36</v>
      </c>
      <c r="E6" s="4" t="n">
        <v>4577</v>
      </c>
      <c r="F6" s="4" t="n">
        <v>296</v>
      </c>
      <c r="G6" s="4" t="n">
        <v>0.2</v>
      </c>
      <c r="H6" s="4" t="n">
        <v>0.8</v>
      </c>
      <c r="I6" s="5" t="n">
        <f aca="false">(E6*G6+F6*H6)/1000000</f>
        <v>0.0011522</v>
      </c>
      <c r="J6" s="6" t="n">
        <v>0.0011522</v>
      </c>
      <c r="K6" s="5" t="n">
        <f aca="false">I6-J6</f>
        <v>0</v>
      </c>
      <c r="L6" s="4" t="n">
        <v>0</v>
      </c>
      <c r="M6" s="3" t="s">
        <v>49</v>
      </c>
      <c r="N6" s="2"/>
      <c r="O6" s="2" t="s">
        <v>38</v>
      </c>
    </row>
    <row r="7" customFormat="false" ht="42" hidden="false" customHeight="true" outlineLevel="0" collapsed="false">
      <c r="A7" s="3" t="s">
        <v>50</v>
      </c>
      <c r="B7" s="3" t="s">
        <v>34</v>
      </c>
      <c r="C7" s="3" t="s">
        <v>41</v>
      </c>
      <c r="D7" s="3" t="s">
        <v>36</v>
      </c>
      <c r="E7" s="4" t="n">
        <v>1152</v>
      </c>
      <c r="F7" s="4" t="n">
        <v>207</v>
      </c>
      <c r="G7" s="4" t="n">
        <v>1</v>
      </c>
      <c r="H7" s="4" t="n">
        <v>4</v>
      </c>
      <c r="I7" s="5" t="n">
        <f aca="false">(E7*G7+F7*H7)/1000000</f>
        <v>0.00198</v>
      </c>
      <c r="J7" s="6" t="n">
        <v>0.00198</v>
      </c>
      <c r="K7" s="5" t="n">
        <f aca="false">I7-J7</f>
        <v>0</v>
      </c>
      <c r="L7" s="4" t="n">
        <v>0</v>
      </c>
      <c r="M7" s="3" t="s">
        <v>51</v>
      </c>
      <c r="N7" s="2"/>
      <c r="O7" s="2" t="s">
        <v>38</v>
      </c>
    </row>
    <row r="8" customFormat="false" ht="42" hidden="false" customHeight="true" outlineLevel="0" collapsed="false">
      <c r="A8" s="3" t="s">
        <v>52</v>
      </c>
      <c r="B8" s="3" t="s">
        <v>34</v>
      </c>
      <c r="C8" s="2" t="s">
        <v>35</v>
      </c>
      <c r="D8" s="3" t="s">
        <v>44</v>
      </c>
      <c r="E8" s="4" t="n">
        <v>1292</v>
      </c>
      <c r="F8" s="4" t="n">
        <v>145</v>
      </c>
      <c r="G8" s="4" t="n">
        <v>0.2</v>
      </c>
      <c r="H8" s="4" t="n">
        <v>0.8</v>
      </c>
      <c r="I8" s="5" t="n">
        <f aca="false">(E8*G8+F8*H8)/1000000</f>
        <v>0.0003744</v>
      </c>
      <c r="J8" s="6" t="n">
        <v>0.0003744</v>
      </c>
      <c r="K8" s="5" t="n">
        <f aca="false">I8-J8</f>
        <v>0</v>
      </c>
      <c r="L8" s="4" t="n">
        <v>0</v>
      </c>
      <c r="M8" s="3" t="s">
        <v>53</v>
      </c>
      <c r="N8" s="2"/>
      <c r="O8" s="2" t="s">
        <v>38</v>
      </c>
    </row>
    <row r="9" customFormat="false" ht="42" hidden="false" customHeight="true" outlineLevel="0" collapsed="false">
      <c r="A9" s="3" t="s">
        <v>54</v>
      </c>
      <c r="B9" s="3" t="s">
        <v>40</v>
      </c>
      <c r="C9" s="3" t="s">
        <v>41</v>
      </c>
      <c r="D9" s="3" t="s">
        <v>44</v>
      </c>
      <c r="E9" s="4" t="n">
        <v>3689</v>
      </c>
      <c r="F9" s="4" t="n">
        <v>150</v>
      </c>
      <c r="G9" s="4" t="n">
        <v>1</v>
      </c>
      <c r="H9" s="4" t="n">
        <v>4</v>
      </c>
      <c r="I9" s="5" t="n">
        <f aca="false">(E9*G9+F9*H9)/1000000</f>
        <v>0.004289</v>
      </c>
      <c r="J9" s="6" t="n">
        <v>0.004289</v>
      </c>
      <c r="K9" s="5" t="n">
        <f aca="false">I9-J9</f>
        <v>0</v>
      </c>
      <c r="L9" s="4" t="n">
        <v>0</v>
      </c>
      <c r="M9" s="3" t="s">
        <v>55</v>
      </c>
      <c r="N9" s="2"/>
      <c r="O9" s="2" t="s">
        <v>38</v>
      </c>
    </row>
    <row r="10" customFormat="false" ht="42" hidden="false" customHeight="true" outlineLevel="0" collapsed="false">
      <c r="A10" s="2" t="s">
        <v>56</v>
      </c>
      <c r="B10" s="2"/>
      <c r="C10" s="2"/>
      <c r="D10" s="2"/>
      <c r="E10" s="2" t="n">
        <f aca="false">SUM(E2:E9)</f>
        <v>21420</v>
      </c>
      <c r="F10" s="2" t="n">
        <f aca="false">SUM(F2:F9)</f>
        <v>1618</v>
      </c>
      <c r="G10" s="2"/>
      <c r="H10" s="2"/>
      <c r="I10" s="5" t="n">
        <f aca="false">SUM(I2:I9)</f>
        <v>0.0155928</v>
      </c>
      <c r="J10" s="5" t="n">
        <f aca="false">SUM(J2:J9)</f>
        <v>0.0155928</v>
      </c>
      <c r="K10" s="5" t="n">
        <f aca="false">SUM(K2:K9)</f>
        <v>0</v>
      </c>
      <c r="L10" s="2" t="n">
        <f aca="false">SUM(L2:L9)</f>
        <v>0</v>
      </c>
      <c r="M10" s="2"/>
      <c r="N10" s="2"/>
      <c r="O10" s="3" t="s">
        <v>57</v>
      </c>
    </row>
  </sheetData>
  <autoFilter ref="A1:O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1"/>
  </cols>
  <sheetData>
    <row r="1" customFormat="false" ht="31.5" hidden="false" customHeight="true" outlineLevel="0" collapsed="false">
      <c r="A1" s="1" t="s">
        <v>20</v>
      </c>
      <c r="B1" s="1" t="s">
        <v>21</v>
      </c>
      <c r="C1" s="1" t="s">
        <v>58</v>
      </c>
      <c r="D1" s="1" t="s">
        <v>22</v>
      </c>
      <c r="E1" s="1" t="s">
        <v>23</v>
      </c>
      <c r="F1" s="1" t="s">
        <v>59</v>
      </c>
      <c r="G1" s="1" t="s">
        <v>60</v>
      </c>
      <c r="H1" s="1" t="s">
        <v>61</v>
      </c>
    </row>
    <row r="2" customFormat="false" ht="42" hidden="false" customHeight="true" outlineLevel="0" collapsed="false">
      <c r="A2" s="3" t="s">
        <v>41</v>
      </c>
      <c r="B2" s="3" t="s">
        <v>44</v>
      </c>
      <c r="C2" s="2" t="n">
        <f aca="false">COUNTIFS('01_逐次费用'!$C$2:$C$9,A2,'01_逐次费用'!$D$2:$D$9,B2)</f>
        <v>2</v>
      </c>
      <c r="D2" s="2" t="n">
        <f aca="false">SUMIFS('01_逐次费用'!$E$2:$E$9,'01_逐次费用'!$C$2:$C$9,A2,'01_逐次费用'!$D$2:$D$9,B2)</f>
        <v>4793</v>
      </c>
      <c r="E2" s="2" t="n">
        <f aca="false">SUMIFS('01_逐次费用'!$F$2:$F$9,'01_逐次费用'!$C$2:$C$9,A2,'01_逐次费用'!$D$2:$D$9,B2)</f>
        <v>273</v>
      </c>
      <c r="F2" s="5" t="n">
        <f aca="false">SUMIFS('01_逐次费用'!$I$2:$I$9,'01_逐次费用'!$C$2:$C$9,A2,'01_逐次费用'!$D$2:$D$9,B2)</f>
        <v>0.005885</v>
      </c>
      <c r="G2" s="5" t="n">
        <f aca="false">F2/C2</f>
        <v>0.0029425</v>
      </c>
      <c r="H2" s="2" t="s">
        <v>62</v>
      </c>
    </row>
    <row r="3" customFormat="false" ht="42" hidden="false" customHeight="true" outlineLevel="0" collapsed="false">
      <c r="A3" s="3" t="s">
        <v>41</v>
      </c>
      <c r="B3" s="3" t="s">
        <v>36</v>
      </c>
      <c r="C3" s="2" t="n">
        <f aca="false">COUNTIFS('01_逐次费用'!$C$2:$C$9,A3,'01_逐次费用'!$D$2:$D$9,B3)</f>
        <v>2</v>
      </c>
      <c r="D3" s="2" t="n">
        <f aca="false">SUMIFS('01_逐次费用'!$E$2:$E$9,'01_逐次费用'!$C$2:$C$9,A3,'01_逐次费用'!$D$2:$D$9,B3)</f>
        <v>4889</v>
      </c>
      <c r="E3" s="2" t="n">
        <f aca="false">SUMIFS('01_逐次费用'!$F$2:$F$9,'01_逐次费用'!$C$2:$C$9,A3,'01_逐次费用'!$D$2:$D$9,B3)</f>
        <v>436</v>
      </c>
      <c r="F3" s="5" t="n">
        <f aca="false">SUMIFS('01_逐次费用'!$I$2:$I$9,'01_逐次费用'!$C$2:$C$9,A3,'01_逐次费用'!$D$2:$D$9,B3)</f>
        <v>0.006633</v>
      </c>
      <c r="G3" s="5" t="n">
        <f aca="false">F3/C3</f>
        <v>0.0033165</v>
      </c>
      <c r="H3" s="2" t="s">
        <v>62</v>
      </c>
    </row>
    <row r="4" customFormat="false" ht="42" hidden="false" customHeight="true" outlineLevel="0" collapsed="false">
      <c r="A4" s="2" t="s">
        <v>35</v>
      </c>
      <c r="B4" s="3" t="s">
        <v>44</v>
      </c>
      <c r="C4" s="2" t="n">
        <f aca="false">COUNTIFS('01_逐次费用'!$C$2:$C$9,A4,'01_逐次费用'!$D$2:$D$9,B4)</f>
        <v>2</v>
      </c>
      <c r="D4" s="2" t="n">
        <f aca="false">SUMIFS('01_逐次费用'!$E$2:$E$9,'01_逐次费用'!$C$2:$C$9,A4,'01_逐次费用'!$D$2:$D$9,B4)</f>
        <v>5822</v>
      </c>
      <c r="E4" s="2" t="n">
        <f aca="false">SUMIFS('01_逐次费用'!$F$2:$F$9,'01_逐次费用'!$C$2:$C$9,A4,'01_逐次费用'!$D$2:$D$9,B4)</f>
        <v>337</v>
      </c>
      <c r="F4" s="5" t="n">
        <f aca="false">SUMIFS('01_逐次费用'!$I$2:$I$9,'01_逐次费用'!$C$2:$C$9,A4,'01_逐次费用'!$D$2:$D$9,B4)</f>
        <v>0.001434</v>
      </c>
      <c r="G4" s="5" t="n">
        <f aca="false">F4/C4</f>
        <v>0.000717</v>
      </c>
      <c r="H4" s="2" t="s">
        <v>62</v>
      </c>
    </row>
    <row r="5" customFormat="false" ht="42" hidden="false" customHeight="true" outlineLevel="0" collapsed="false">
      <c r="A5" s="2" t="s">
        <v>35</v>
      </c>
      <c r="B5" s="3" t="s">
        <v>36</v>
      </c>
      <c r="C5" s="2" t="n">
        <f aca="false">COUNTIFS('01_逐次费用'!$C$2:$C$9,A5,'01_逐次费用'!$D$2:$D$9,B5)</f>
        <v>2</v>
      </c>
      <c r="D5" s="2" t="n">
        <f aca="false">SUMIFS('01_逐次费用'!$E$2:$E$9,'01_逐次费用'!$C$2:$C$9,A5,'01_逐次费用'!$D$2:$D$9,B5)</f>
        <v>5916</v>
      </c>
      <c r="E5" s="2" t="n">
        <f aca="false">SUMIFS('01_逐次费用'!$F$2:$F$9,'01_逐次费用'!$C$2:$C$9,A5,'01_逐次费用'!$D$2:$D$9,B5)</f>
        <v>572</v>
      </c>
      <c r="F5" s="5" t="n">
        <f aca="false">SUMIFS('01_逐次费用'!$I$2:$I$9,'01_逐次费用'!$C$2:$C$9,A5,'01_逐次费用'!$D$2:$D$9,B5)</f>
        <v>0.0016408</v>
      </c>
      <c r="G5" s="5" t="n">
        <f aca="false">F5/C5</f>
        <v>0.0008204</v>
      </c>
      <c r="H5" s="2" t="s">
        <v>62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21"/>
  </cols>
  <sheetData>
    <row r="1" customFormat="false" ht="31.5" hidden="false" customHeight="true" outlineLevel="0" collapsed="false">
      <c r="A1" s="1" t="s">
        <v>18</v>
      </c>
      <c r="B1" s="1" t="s">
        <v>19</v>
      </c>
      <c r="C1" s="7" t="s">
        <v>63</v>
      </c>
      <c r="D1" s="7" t="s">
        <v>64</v>
      </c>
      <c r="E1" s="7" t="s">
        <v>65</v>
      </c>
      <c r="F1" s="7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7" t="s">
        <v>71</v>
      </c>
      <c r="L1" s="1" t="s">
        <v>72</v>
      </c>
    </row>
    <row r="2" customFormat="false" ht="42" hidden="false" customHeight="true" outlineLevel="0" collapsed="false">
      <c r="A2" s="3" t="s">
        <v>33</v>
      </c>
      <c r="B2" s="3" t="s">
        <v>34</v>
      </c>
      <c r="C2" s="4" t="n">
        <v>2</v>
      </c>
      <c r="D2" s="4" t="n">
        <v>2</v>
      </c>
      <c r="E2" s="4" t="n">
        <v>2</v>
      </c>
      <c r="F2" s="4" t="n">
        <v>2</v>
      </c>
      <c r="G2" s="2" t="s">
        <v>73</v>
      </c>
      <c r="H2" s="2" t="s">
        <v>73</v>
      </c>
      <c r="I2" s="2" t="s">
        <v>74</v>
      </c>
      <c r="J2" s="2" t="s">
        <v>75</v>
      </c>
      <c r="K2" s="2"/>
      <c r="L2" s="2"/>
    </row>
    <row r="3" customFormat="false" ht="42" hidden="false" customHeight="true" outlineLevel="0" collapsed="false">
      <c r="A3" s="3" t="s">
        <v>39</v>
      </c>
      <c r="B3" s="3" t="s">
        <v>40</v>
      </c>
      <c r="C3" s="4" t="n">
        <v>2</v>
      </c>
      <c r="D3" s="4" t="n">
        <v>2</v>
      </c>
      <c r="E3" s="4" t="n">
        <v>1</v>
      </c>
      <c r="F3" s="4" t="n">
        <v>2</v>
      </c>
      <c r="G3" s="2" t="s">
        <v>73</v>
      </c>
      <c r="H3" s="2" t="s">
        <v>73</v>
      </c>
      <c r="I3" s="2" t="s">
        <v>76</v>
      </c>
      <c r="J3" s="2" t="s">
        <v>75</v>
      </c>
      <c r="K3" s="2"/>
      <c r="L3" s="2"/>
    </row>
    <row r="4" customFormat="false" ht="42" hidden="false" customHeight="true" outlineLevel="0" collapsed="false">
      <c r="A4" s="3" t="s">
        <v>43</v>
      </c>
      <c r="B4" s="3" t="s">
        <v>34</v>
      </c>
      <c r="C4" s="4" t="n">
        <v>2</v>
      </c>
      <c r="D4" s="4" t="n">
        <v>2</v>
      </c>
      <c r="E4" s="4" t="n">
        <v>2</v>
      </c>
      <c r="F4" s="4" t="n">
        <v>2</v>
      </c>
      <c r="G4" s="2" t="s">
        <v>73</v>
      </c>
      <c r="H4" s="2" t="s">
        <v>73</v>
      </c>
      <c r="I4" s="2" t="s">
        <v>74</v>
      </c>
      <c r="J4" s="2" t="s">
        <v>75</v>
      </c>
      <c r="K4" s="2"/>
      <c r="L4" s="2"/>
    </row>
    <row r="5" customFormat="false" ht="42" hidden="false" customHeight="true" outlineLevel="0" collapsed="false">
      <c r="A5" s="3" t="s">
        <v>46</v>
      </c>
      <c r="B5" s="3" t="s">
        <v>40</v>
      </c>
      <c r="C5" s="4" t="n">
        <v>0</v>
      </c>
      <c r="D5" s="4" t="n">
        <v>0</v>
      </c>
      <c r="E5" s="4" t="n">
        <v>1</v>
      </c>
      <c r="F5" s="4" t="n">
        <v>0</v>
      </c>
      <c r="G5" s="2" t="s">
        <v>77</v>
      </c>
      <c r="H5" s="2" t="s">
        <v>73</v>
      </c>
      <c r="I5" s="2" t="s">
        <v>76</v>
      </c>
      <c r="J5" s="2" t="s">
        <v>78</v>
      </c>
      <c r="K5" s="2"/>
      <c r="L5" s="2"/>
    </row>
    <row r="6" customFormat="false" ht="42" hidden="false" customHeight="true" outlineLevel="0" collapsed="false">
      <c r="A6" s="3" t="s">
        <v>48</v>
      </c>
      <c r="B6" s="3" t="s">
        <v>40</v>
      </c>
      <c r="C6" s="4" t="n">
        <v>2</v>
      </c>
      <c r="D6" s="4" t="n">
        <v>2</v>
      </c>
      <c r="E6" s="4" t="n">
        <v>1</v>
      </c>
      <c r="F6" s="4" t="n">
        <v>2</v>
      </c>
      <c r="G6" s="2" t="s">
        <v>73</v>
      </c>
      <c r="H6" s="2" t="s">
        <v>73</v>
      </c>
      <c r="I6" s="2" t="s">
        <v>76</v>
      </c>
      <c r="J6" s="2" t="s">
        <v>75</v>
      </c>
      <c r="K6" s="2"/>
      <c r="L6" s="2"/>
    </row>
    <row r="7" customFormat="false" ht="42" hidden="false" customHeight="true" outlineLevel="0" collapsed="false">
      <c r="A7" s="3" t="s">
        <v>50</v>
      </c>
      <c r="B7" s="3" t="s">
        <v>34</v>
      </c>
      <c r="C7" s="4" t="n">
        <v>2</v>
      </c>
      <c r="D7" s="4" t="n">
        <v>2</v>
      </c>
      <c r="E7" s="4" t="n">
        <v>2</v>
      </c>
      <c r="F7" s="4" t="n">
        <v>2</v>
      </c>
      <c r="G7" s="2" t="s">
        <v>73</v>
      </c>
      <c r="H7" s="2" t="s">
        <v>73</v>
      </c>
      <c r="I7" s="2" t="s">
        <v>74</v>
      </c>
      <c r="J7" s="2" t="s">
        <v>75</v>
      </c>
      <c r="K7" s="2"/>
      <c r="L7" s="2"/>
    </row>
    <row r="8" customFormat="false" ht="42" hidden="false" customHeight="true" outlineLevel="0" collapsed="false">
      <c r="A8" s="3" t="s">
        <v>52</v>
      </c>
      <c r="B8" s="3" t="s">
        <v>34</v>
      </c>
      <c r="C8" s="4" t="n">
        <v>0</v>
      </c>
      <c r="D8" s="4" t="n">
        <v>0</v>
      </c>
      <c r="E8" s="4" t="n">
        <v>1</v>
      </c>
      <c r="F8" s="4" t="n">
        <v>0</v>
      </c>
      <c r="G8" s="2" t="s">
        <v>77</v>
      </c>
      <c r="H8" s="2" t="s">
        <v>73</v>
      </c>
      <c r="I8" s="2" t="s">
        <v>76</v>
      </c>
      <c r="J8" s="2" t="s">
        <v>78</v>
      </c>
      <c r="K8" s="2"/>
      <c r="L8" s="2"/>
    </row>
    <row r="9" customFormat="false" ht="42" hidden="false" customHeight="true" outlineLevel="0" collapsed="false">
      <c r="A9" s="3" t="s">
        <v>54</v>
      </c>
      <c r="B9" s="3" t="s">
        <v>40</v>
      </c>
      <c r="C9" s="4" t="n">
        <v>2</v>
      </c>
      <c r="D9" s="4" t="n">
        <v>2</v>
      </c>
      <c r="E9" s="4" t="n">
        <v>1</v>
      </c>
      <c r="F9" s="4" t="n">
        <v>2</v>
      </c>
      <c r="G9" s="2" t="s">
        <v>73</v>
      </c>
      <c r="H9" s="2" t="s">
        <v>73</v>
      </c>
      <c r="I9" s="2" t="s">
        <v>76</v>
      </c>
      <c r="J9" s="2" t="s">
        <v>75</v>
      </c>
      <c r="K9" s="2"/>
      <c r="L9" s="2"/>
    </row>
  </sheetData>
  <autoFilter ref="A1:L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1"/>
  </cols>
  <sheetData>
    <row r="1" customFormat="false" ht="31.5" hidden="false" customHeight="true" outlineLevel="0" collapsed="false">
      <c r="A1" s="1" t="s">
        <v>79</v>
      </c>
      <c r="B1" s="1" t="s">
        <v>80</v>
      </c>
      <c r="C1" s="1" t="s">
        <v>81</v>
      </c>
      <c r="D1" s="1" t="s">
        <v>82</v>
      </c>
    </row>
    <row r="2" customFormat="false" ht="42" hidden="false" customHeight="true" outlineLevel="0" collapsed="false">
      <c r="A2" s="8" t="n">
        <v>0</v>
      </c>
      <c r="B2" s="8" t="n">
        <v>0.5</v>
      </c>
      <c r="C2" s="9" t="n">
        <f aca="false">A2*B2</f>
        <v>0</v>
      </c>
      <c r="D2" s="2" t="s">
        <v>83</v>
      </c>
    </row>
    <row r="3" customFormat="false" ht="42" hidden="false" customHeight="true" outlineLevel="0" collapsed="false">
      <c r="A3" s="8" t="n">
        <v>0.01</v>
      </c>
      <c r="B3" s="8" t="n">
        <v>0.5</v>
      </c>
      <c r="C3" s="9" t="n">
        <f aca="false">A3*B3</f>
        <v>0.005</v>
      </c>
      <c r="D3" s="2" t="s">
        <v>83</v>
      </c>
    </row>
    <row r="4" customFormat="false" ht="42" hidden="false" customHeight="true" outlineLevel="0" collapsed="false">
      <c r="A4" s="8" t="n">
        <v>0.05</v>
      </c>
      <c r="B4" s="8" t="n">
        <v>0.5</v>
      </c>
      <c r="C4" s="9" t="n">
        <f aca="false">A4*B4</f>
        <v>0.025</v>
      </c>
      <c r="D4" s="2" t="s">
        <v>83</v>
      </c>
    </row>
    <row r="5" customFormat="false" ht="42" hidden="false" customHeight="true" outlineLevel="0" collapsed="false">
      <c r="A5" s="8" t="n">
        <v>0.1</v>
      </c>
      <c r="B5" s="8" t="n">
        <v>0.5</v>
      </c>
      <c r="C5" s="9" t="n">
        <f aca="false">A5*B5</f>
        <v>0.05</v>
      </c>
      <c r="D5" s="2" t="s">
        <v>83</v>
      </c>
    </row>
    <row r="6" customFormat="false" ht="42" hidden="false" customHeight="true" outlineLevel="0" collapsed="false">
      <c r="A6" s="8" t="n">
        <v>0.2</v>
      </c>
      <c r="B6" s="8" t="n">
        <v>0.5</v>
      </c>
      <c r="C6" s="9" t="n">
        <f aca="false">A6*B6</f>
        <v>0.1</v>
      </c>
      <c r="D6" s="2" t="s">
        <v>83</v>
      </c>
    </row>
    <row r="7" customFormat="false" ht="42" hidden="false" customHeight="true" outlineLevel="0" collapsed="false">
      <c r="A7" s="8" t="n">
        <v>0.3</v>
      </c>
      <c r="B7" s="8" t="n">
        <v>0.5</v>
      </c>
      <c r="C7" s="9" t="n">
        <f aca="false">A7*B7</f>
        <v>0.15</v>
      </c>
      <c r="D7" s="2" t="s">
        <v>83</v>
      </c>
    </row>
    <row r="8" customFormat="false" ht="42" hidden="false" customHeight="true" outlineLevel="0" collapsed="false">
      <c r="A8" s="8" t="n">
        <v>0.5</v>
      </c>
      <c r="B8" s="8" t="n">
        <v>0.5</v>
      </c>
      <c r="C8" s="9" t="n">
        <f aca="false">A8*B8</f>
        <v>0.25</v>
      </c>
      <c r="D8" s="2" t="s">
        <v>83</v>
      </c>
    </row>
    <row r="9" customFormat="false" ht="42" hidden="false" customHeight="true" outlineLevel="0" collapsed="false">
      <c r="A9" s="8" t="n">
        <v>0.75</v>
      </c>
      <c r="B9" s="8" t="n">
        <v>0.5</v>
      </c>
      <c r="C9" s="9" t="n">
        <f aca="false">A9*B9</f>
        <v>0.375</v>
      </c>
      <c r="D9" s="2" t="s">
        <v>83</v>
      </c>
    </row>
    <row r="10" customFormat="false" ht="42" hidden="false" customHeight="true" outlineLevel="0" collapsed="false">
      <c r="A10" s="8" t="n">
        <v>1</v>
      </c>
      <c r="B10" s="8" t="n">
        <v>0.5</v>
      </c>
      <c r="C10" s="9" t="n">
        <f aca="false">A10*B10</f>
        <v>0.5</v>
      </c>
      <c r="D10" s="2" t="s">
        <v>83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1"/>
  </cols>
  <sheetData>
    <row r="1" customFormat="false" ht="31.5" hidden="false" customHeight="true" outlineLevel="0" collapsed="false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7" t="s">
        <v>89</v>
      </c>
      <c r="G1" s="1" t="s">
        <v>90</v>
      </c>
      <c r="H1" s="1" t="s">
        <v>1</v>
      </c>
    </row>
    <row r="2" customFormat="false" ht="42" hidden="false" customHeight="true" outlineLevel="0" collapsed="false">
      <c r="A2" s="4" t="n">
        <v>60</v>
      </c>
      <c r="B2" s="4" t="n">
        <v>0</v>
      </c>
      <c r="C2" s="5" t="n">
        <f aca="false">'01_逐次费用'!I10/8</f>
        <v>0.0019491</v>
      </c>
      <c r="D2" s="5" t="n">
        <f aca="false">A2*B2/60</f>
        <v>0</v>
      </c>
      <c r="E2" s="5" t="n">
        <f aca="false">C2+D2</f>
        <v>0.0019491</v>
      </c>
      <c r="F2" s="5" t="n">
        <f aca="false">C2*0.5+D2</f>
        <v>0.00097455</v>
      </c>
      <c r="G2" s="10" t="n">
        <f aca="false">(E2-F2)/E2</f>
        <v>0.5</v>
      </c>
      <c r="H2" s="2" t="s">
        <v>91</v>
      </c>
    </row>
    <row r="3" customFormat="false" ht="42" hidden="false" customHeight="true" outlineLevel="0" collapsed="false">
      <c r="A3" s="4" t="n">
        <v>60</v>
      </c>
      <c r="B3" s="4" t="n">
        <v>1</v>
      </c>
      <c r="C3" s="5" t="n">
        <f aca="false">'01_逐次费用'!I10/8</f>
        <v>0.0019491</v>
      </c>
      <c r="D3" s="5" t="n">
        <f aca="false">A3*B3/60</f>
        <v>1</v>
      </c>
      <c r="E3" s="5" t="n">
        <f aca="false">C3+D3</f>
        <v>1.0019491</v>
      </c>
      <c r="F3" s="5" t="n">
        <f aca="false">C3*0.5+D3</f>
        <v>1.00097455</v>
      </c>
      <c r="G3" s="10" t="n">
        <f aca="false">(E3-F3)/E3</f>
        <v>0.000972654199699384</v>
      </c>
      <c r="H3" s="2" t="s">
        <v>91</v>
      </c>
    </row>
    <row r="4" customFormat="false" ht="42" hidden="false" customHeight="true" outlineLevel="0" collapsed="false">
      <c r="A4" s="4" t="n">
        <v>60</v>
      </c>
      <c r="B4" s="4" t="n">
        <v>3</v>
      </c>
      <c r="C4" s="5" t="n">
        <f aca="false">'01_逐次费用'!I10/8</f>
        <v>0.0019491</v>
      </c>
      <c r="D4" s="5" t="n">
        <f aca="false">A4*B4/60</f>
        <v>3</v>
      </c>
      <c r="E4" s="5" t="n">
        <f aca="false">C4+D4</f>
        <v>3.0019491</v>
      </c>
      <c r="F4" s="5" t="n">
        <f aca="false">C4*0.5+D4</f>
        <v>3.00097455</v>
      </c>
      <c r="G4" s="10" t="n">
        <f aca="false">(E4-F4)/E4</f>
        <v>0.000324639081988438</v>
      </c>
      <c r="H4" s="2" t="s">
        <v>91</v>
      </c>
    </row>
    <row r="5" customFormat="false" ht="42" hidden="false" customHeight="true" outlineLevel="0" collapsed="false">
      <c r="A5" s="4" t="n">
        <v>60</v>
      </c>
      <c r="B5" s="4" t="n">
        <v>5</v>
      </c>
      <c r="C5" s="5" t="n">
        <f aca="false">'01_逐次费用'!I10/8</f>
        <v>0.0019491</v>
      </c>
      <c r="D5" s="5" t="n">
        <f aca="false">A5*B5/60</f>
        <v>5</v>
      </c>
      <c r="E5" s="5" t="n">
        <f aca="false">C5+D5</f>
        <v>5.0019491</v>
      </c>
      <c r="F5" s="5" t="n">
        <f aca="false">C5*0.5+D5</f>
        <v>5.00097455</v>
      </c>
      <c r="G5" s="10" t="n">
        <f aca="false">(E5-F5)/E5</f>
        <v>0.000194834049790803</v>
      </c>
      <c r="H5" s="2" t="s">
        <v>91</v>
      </c>
    </row>
    <row r="6" customFormat="false" ht="42" hidden="false" customHeight="true" outlineLevel="0" collapsed="false">
      <c r="A6" s="4" t="n">
        <v>60</v>
      </c>
      <c r="B6" s="4" t="n">
        <v>10</v>
      </c>
      <c r="C6" s="5" t="n">
        <f aca="false">'01_逐次费用'!I10/8</f>
        <v>0.0019491</v>
      </c>
      <c r="D6" s="5" t="n">
        <f aca="false">A6*B6/60</f>
        <v>10</v>
      </c>
      <c r="E6" s="5" t="n">
        <f aca="false">C6+D6</f>
        <v>10.0019491</v>
      </c>
      <c r="F6" s="5" t="n">
        <f aca="false">C6*0.5+D6</f>
        <v>10.00097455</v>
      </c>
      <c r="G6" s="10" t="n">
        <f aca="false">(E6-F6)/E6</f>
        <v>9.74360087474037E-005</v>
      </c>
      <c r="H6" s="2" t="s">
        <v>91</v>
      </c>
    </row>
    <row r="7" customFormat="false" ht="42" hidden="false" customHeight="true" outlineLevel="0" collapsed="false">
      <c r="A7" s="4" t="n">
        <v>120</v>
      </c>
      <c r="B7" s="4" t="n">
        <v>0</v>
      </c>
      <c r="C7" s="5" t="n">
        <f aca="false">'01_逐次费用'!I10/8</f>
        <v>0.0019491</v>
      </c>
      <c r="D7" s="5" t="n">
        <f aca="false">A7*B7/60</f>
        <v>0</v>
      </c>
      <c r="E7" s="5" t="n">
        <f aca="false">C7+D7</f>
        <v>0.0019491</v>
      </c>
      <c r="F7" s="5" t="n">
        <f aca="false">C7*0.5+D7</f>
        <v>0.00097455</v>
      </c>
      <c r="G7" s="10" t="n">
        <f aca="false">(E7-F7)/E7</f>
        <v>0.5</v>
      </c>
      <c r="H7" s="2" t="s">
        <v>91</v>
      </c>
    </row>
    <row r="8" customFormat="false" ht="42" hidden="false" customHeight="true" outlineLevel="0" collapsed="false">
      <c r="A8" s="4" t="n">
        <v>120</v>
      </c>
      <c r="B8" s="4" t="n">
        <v>1</v>
      </c>
      <c r="C8" s="5" t="n">
        <f aca="false">'01_逐次费用'!I10/8</f>
        <v>0.0019491</v>
      </c>
      <c r="D8" s="5" t="n">
        <f aca="false">A8*B8/60</f>
        <v>2</v>
      </c>
      <c r="E8" s="5" t="n">
        <f aca="false">C8+D8</f>
        <v>2.0019491</v>
      </c>
      <c r="F8" s="5" t="n">
        <f aca="false">C8*0.5+D8</f>
        <v>2.00097455</v>
      </c>
      <c r="G8" s="10" t="n">
        <f aca="false">(E8-F8)/E8</f>
        <v>0.0004868005884865</v>
      </c>
      <c r="H8" s="2" t="s">
        <v>91</v>
      </c>
    </row>
    <row r="9" customFormat="false" ht="42" hidden="false" customHeight="true" outlineLevel="0" collapsed="false">
      <c r="A9" s="4" t="n">
        <v>120</v>
      </c>
      <c r="B9" s="4" t="n">
        <v>3</v>
      </c>
      <c r="C9" s="5" t="n">
        <f aca="false">'01_逐次费用'!I10/8</f>
        <v>0.0019491</v>
      </c>
      <c r="D9" s="5" t="n">
        <f aca="false">A9*B9/60</f>
        <v>6</v>
      </c>
      <c r="E9" s="5" t="n">
        <f aca="false">C9+D9</f>
        <v>6.0019491</v>
      </c>
      <c r="F9" s="5" t="n">
        <f aca="false">C9*0.5+D9</f>
        <v>6.00097455</v>
      </c>
      <c r="G9" s="10" t="n">
        <f aca="false">(E9-F9)/E9</f>
        <v>0.000162372253373569</v>
      </c>
      <c r="H9" s="2" t="s">
        <v>91</v>
      </c>
    </row>
    <row r="10" customFormat="false" ht="42" hidden="false" customHeight="true" outlineLevel="0" collapsed="false">
      <c r="A10" s="4" t="n">
        <v>120</v>
      </c>
      <c r="B10" s="4" t="n">
        <v>5</v>
      </c>
      <c r="C10" s="5" t="n">
        <f aca="false">'01_逐次费用'!I10/8</f>
        <v>0.0019491</v>
      </c>
      <c r="D10" s="5" t="n">
        <f aca="false">A10*B10/60</f>
        <v>10</v>
      </c>
      <c r="E10" s="5" t="n">
        <f aca="false">C10+D10</f>
        <v>10.0019491</v>
      </c>
      <c r="F10" s="5" t="n">
        <f aca="false">C10*0.5+D10</f>
        <v>10.00097455</v>
      </c>
      <c r="G10" s="10" t="n">
        <f aca="false">(E10-F10)/E10</f>
        <v>9.74360087474037E-005</v>
      </c>
      <c r="H10" s="2" t="s">
        <v>91</v>
      </c>
    </row>
    <row r="11" customFormat="false" ht="42" hidden="false" customHeight="true" outlineLevel="0" collapsed="false">
      <c r="A11" s="4" t="n">
        <v>120</v>
      </c>
      <c r="B11" s="4" t="n">
        <v>10</v>
      </c>
      <c r="C11" s="5" t="n">
        <f aca="false">'01_逐次费用'!I10/8</f>
        <v>0.0019491</v>
      </c>
      <c r="D11" s="5" t="n">
        <f aca="false">A11*B11/60</f>
        <v>20</v>
      </c>
      <c r="E11" s="5" t="n">
        <f aca="false">C11+D11</f>
        <v>20.0019491</v>
      </c>
      <c r="F11" s="5" t="n">
        <f aca="false">C11*0.5+D11</f>
        <v>20.00097455</v>
      </c>
      <c r="G11" s="10" t="n">
        <f aca="false">(E11-F11)/E11</f>
        <v>4.87227517243426E-005</v>
      </c>
      <c r="H11" s="2" t="s">
        <v>91</v>
      </c>
    </row>
    <row r="12" customFormat="false" ht="42" hidden="false" customHeight="true" outlineLevel="0" collapsed="false">
      <c r="A12" s="4" t="n">
        <v>240</v>
      </c>
      <c r="B12" s="4" t="n">
        <v>0</v>
      </c>
      <c r="C12" s="5" t="n">
        <f aca="false">'01_逐次费用'!I10/8</f>
        <v>0.0019491</v>
      </c>
      <c r="D12" s="5" t="n">
        <f aca="false">A12*B12/60</f>
        <v>0</v>
      </c>
      <c r="E12" s="5" t="n">
        <f aca="false">C12+D12</f>
        <v>0.0019491</v>
      </c>
      <c r="F12" s="5" t="n">
        <f aca="false">C12*0.5+D12</f>
        <v>0.00097455</v>
      </c>
      <c r="G12" s="10" t="n">
        <f aca="false">(E12-F12)/E12</f>
        <v>0.5</v>
      </c>
      <c r="H12" s="2" t="s">
        <v>91</v>
      </c>
    </row>
    <row r="13" customFormat="false" ht="42" hidden="false" customHeight="true" outlineLevel="0" collapsed="false">
      <c r="A13" s="4" t="n">
        <v>240</v>
      </c>
      <c r="B13" s="4" t="n">
        <v>1</v>
      </c>
      <c r="C13" s="5" t="n">
        <f aca="false">'01_逐次费用'!I10/8</f>
        <v>0.0019491</v>
      </c>
      <c r="D13" s="5" t="n">
        <f aca="false">A13*B13/60</f>
        <v>4</v>
      </c>
      <c r="E13" s="5" t="n">
        <f aca="false">C13+D13</f>
        <v>4.0019491</v>
      </c>
      <c r="F13" s="5" t="n">
        <f aca="false">C13*0.5+D13</f>
        <v>4.00097455</v>
      </c>
      <c r="G13" s="10" t="n">
        <f aca="false">(E13-F13)/E13</f>
        <v>0.000243518839357668</v>
      </c>
      <c r="H13" s="2" t="s">
        <v>91</v>
      </c>
    </row>
    <row r="14" customFormat="false" ht="42" hidden="false" customHeight="true" outlineLevel="0" collapsed="false">
      <c r="A14" s="4" t="n">
        <v>240</v>
      </c>
      <c r="B14" s="4" t="n">
        <v>3</v>
      </c>
      <c r="C14" s="5" t="n">
        <f aca="false">'01_逐次费用'!I10/8</f>
        <v>0.0019491</v>
      </c>
      <c r="D14" s="5" t="n">
        <f aca="false">A14*B14/60</f>
        <v>12</v>
      </c>
      <c r="E14" s="5" t="n">
        <f aca="false">C14+D14</f>
        <v>12.0019491</v>
      </c>
      <c r="F14" s="5" t="n">
        <f aca="false">C14*0.5+D14</f>
        <v>12.00097455</v>
      </c>
      <c r="G14" s="10" t="n">
        <f aca="false">(E14-F14)/E14</f>
        <v>8.11993112017686E-005</v>
      </c>
      <c r="H14" s="2" t="s">
        <v>91</v>
      </c>
    </row>
    <row r="15" customFormat="false" ht="42" hidden="false" customHeight="true" outlineLevel="0" collapsed="false">
      <c r="A15" s="4" t="n">
        <v>240</v>
      </c>
      <c r="B15" s="4" t="n">
        <v>5</v>
      </c>
      <c r="C15" s="5" t="n">
        <f aca="false">'01_逐次费用'!I10/8</f>
        <v>0.0019491</v>
      </c>
      <c r="D15" s="5" t="n">
        <f aca="false">A15*B15/60</f>
        <v>20</v>
      </c>
      <c r="E15" s="5" t="n">
        <f aca="false">C15+D15</f>
        <v>20.0019491</v>
      </c>
      <c r="F15" s="5" t="n">
        <f aca="false">C15*0.5+D15</f>
        <v>20.00097455</v>
      </c>
      <c r="G15" s="10" t="n">
        <f aca="false">(E15-F15)/E15</f>
        <v>4.87227517243426E-005</v>
      </c>
      <c r="H15" s="2" t="s">
        <v>91</v>
      </c>
    </row>
    <row r="16" customFormat="false" ht="42" hidden="false" customHeight="true" outlineLevel="0" collapsed="false">
      <c r="A16" s="4" t="n">
        <v>240</v>
      </c>
      <c r="B16" s="4" t="n">
        <v>10</v>
      </c>
      <c r="C16" s="5" t="n">
        <f aca="false">'01_逐次费用'!I10/8</f>
        <v>0.0019491</v>
      </c>
      <c r="D16" s="5" t="n">
        <f aca="false">A16*B16/60</f>
        <v>40</v>
      </c>
      <c r="E16" s="5" t="n">
        <f aca="false">C16+D16</f>
        <v>40.0019491</v>
      </c>
      <c r="F16" s="5" t="n">
        <f aca="false">C16*0.5+D16</f>
        <v>40.00097455</v>
      </c>
      <c r="G16" s="10" t="n">
        <f aca="false">(E16-F16)/E16</f>
        <v>2.43625628730959E-005</v>
      </c>
      <c r="H16" s="2" t="s">
        <v>91</v>
      </c>
    </row>
  </sheetData>
  <autoFilter ref="A1:H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1"/>
  </cols>
  <sheetData>
    <row r="1" customFormat="false" ht="31.5" hidden="false" customHeight="true" outlineLevel="0" collapsed="false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customFormat="false" ht="42" hidden="false" customHeight="true" outlineLevel="0" collapsed="false">
      <c r="A2" s="4" t="n">
        <v>2024</v>
      </c>
      <c r="B2" s="4" t="n">
        <v>6836158028.21</v>
      </c>
      <c r="C2" s="4" t="n">
        <v>85724597</v>
      </c>
      <c r="D2" s="11" t="n">
        <f aca="false">B2/C2</f>
        <v>79.7455837349693</v>
      </c>
      <c r="E2" s="2"/>
      <c r="F2" s="2" t="s">
        <v>98</v>
      </c>
    </row>
    <row r="3" customFormat="false" ht="42" hidden="false" customHeight="true" outlineLevel="0" collapsed="false">
      <c r="A3" s="4" t="n">
        <v>2025</v>
      </c>
      <c r="B3" s="4" t="n">
        <v>6965677978.67</v>
      </c>
      <c r="C3" s="4" t="n">
        <v>92664612</v>
      </c>
      <c r="D3" s="11" t="n">
        <f aca="false">B3/C3</f>
        <v>75.1708535580983</v>
      </c>
      <c r="E3" s="10" t="n">
        <f aca="false">D3/D2-1</f>
        <v>-0.0573665645495168</v>
      </c>
      <c r="F3" s="2" t="s">
        <v>99</v>
      </c>
    </row>
  </sheetData>
  <autoFilter ref="A1:F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21"/>
  </cols>
  <sheetData>
    <row r="1" customFormat="false" ht="31.5" hidden="false" customHeight="true" outlineLevel="0" collapsed="false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7" t="s">
        <v>107</v>
      </c>
      <c r="I1" s="1" t="s">
        <v>108</v>
      </c>
    </row>
    <row r="2" customFormat="false" ht="42" hidden="false" customHeight="true" outlineLevel="0" collapsed="false">
      <c r="A2" s="3" t="s">
        <v>109</v>
      </c>
      <c r="B2" s="3" t="s">
        <v>110</v>
      </c>
      <c r="C2" s="2" t="s">
        <v>111</v>
      </c>
      <c r="D2" s="3" t="s">
        <v>112</v>
      </c>
      <c r="E2" s="2" t="s">
        <v>113</v>
      </c>
      <c r="F2" s="2" t="s">
        <v>114</v>
      </c>
      <c r="G2" s="3" t="s">
        <v>115</v>
      </c>
      <c r="H2" s="2" t="s">
        <v>116</v>
      </c>
      <c r="I2" s="3" t="s">
        <v>117</v>
      </c>
    </row>
    <row r="3" customFormat="false" ht="42" hidden="false" customHeight="true" outlineLevel="0" collapsed="false">
      <c r="A3" s="3" t="s">
        <v>118</v>
      </c>
      <c r="B3" s="2" t="s">
        <v>119</v>
      </c>
      <c r="C3" s="2" t="s">
        <v>120</v>
      </c>
      <c r="D3" s="3" t="s">
        <v>121</v>
      </c>
      <c r="E3" s="2" t="s">
        <v>122</v>
      </c>
      <c r="F3" s="2" t="s">
        <v>123</v>
      </c>
      <c r="G3" s="3" t="s">
        <v>124</v>
      </c>
      <c r="H3" s="2" t="s">
        <v>125</v>
      </c>
      <c r="I3" s="3" t="s">
        <v>126</v>
      </c>
    </row>
    <row r="4" customFormat="false" ht="42" hidden="false" customHeight="true" outlineLevel="0" collapsed="false">
      <c r="A4" s="3" t="s">
        <v>127</v>
      </c>
      <c r="B4" s="2" t="s">
        <v>128</v>
      </c>
      <c r="C4" s="2" t="s">
        <v>129</v>
      </c>
      <c r="D4" s="3" t="s">
        <v>130</v>
      </c>
      <c r="E4" s="3" t="s">
        <v>131</v>
      </c>
      <c r="F4" s="3" t="s">
        <v>132</v>
      </c>
      <c r="G4" s="3" t="s">
        <v>133</v>
      </c>
      <c r="H4" s="2" t="s">
        <v>134</v>
      </c>
      <c r="I4" s="3" t="s">
        <v>135</v>
      </c>
    </row>
  </sheetData>
  <autoFilter ref="A1:I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8"/>
    <col collapsed="false" customWidth="true" hidden="false" outlineLevel="0" max="3" min="3" style="0" width="70"/>
    <col collapsed="false" customWidth="true" hidden="false" outlineLevel="0" max="4" min="4" style="0" width="21"/>
  </cols>
  <sheetData>
    <row r="1" customFormat="false" ht="31.5" hidden="false" customHeight="true" outlineLevel="0" collapsed="false">
      <c r="A1" s="1" t="s">
        <v>136</v>
      </c>
      <c r="B1" s="1" t="s">
        <v>137</v>
      </c>
      <c r="C1" s="1" t="s">
        <v>138</v>
      </c>
      <c r="D1" s="1" t="s">
        <v>139</v>
      </c>
    </row>
    <row r="2" customFormat="false" ht="42" hidden="false" customHeight="true" outlineLevel="0" collapsed="false">
      <c r="A2" s="2" t="s">
        <v>140</v>
      </c>
      <c r="B2" s="2" t="s">
        <v>141</v>
      </c>
      <c r="C2" s="2" t="s">
        <v>142</v>
      </c>
      <c r="D2" s="2" t="s">
        <v>143</v>
      </c>
    </row>
    <row r="3" customFormat="false" ht="42" hidden="false" customHeight="true" outlineLevel="0" collapsed="false">
      <c r="A3" s="2" t="s">
        <v>144</v>
      </c>
      <c r="B3" s="2" t="s">
        <v>141</v>
      </c>
      <c r="C3" s="3" t="s">
        <v>145</v>
      </c>
      <c r="D3" s="2" t="s">
        <v>146</v>
      </c>
    </row>
    <row r="4" customFormat="false" ht="42" hidden="false" customHeight="true" outlineLevel="0" collapsed="false">
      <c r="A4" s="2" t="s">
        <v>147</v>
      </c>
      <c r="B4" s="2" t="s">
        <v>141</v>
      </c>
      <c r="C4" s="3" t="s">
        <v>148</v>
      </c>
      <c r="D4" s="2" t="s">
        <v>149</v>
      </c>
    </row>
    <row r="5" customFormat="false" ht="42" hidden="false" customHeight="true" outlineLevel="0" collapsed="false">
      <c r="A5" s="2" t="s">
        <v>150</v>
      </c>
      <c r="B5" s="2" t="s">
        <v>141</v>
      </c>
      <c r="C5" s="2" t="s">
        <v>151</v>
      </c>
      <c r="D5" s="2" t="s">
        <v>152</v>
      </c>
    </row>
    <row r="6" customFormat="false" ht="42" hidden="false" customHeight="true" outlineLevel="0" collapsed="false">
      <c r="A6" s="2" t="s">
        <v>153</v>
      </c>
      <c r="B6" s="2" t="s">
        <v>154</v>
      </c>
      <c r="C6" s="2" t="s">
        <v>155</v>
      </c>
      <c r="D6" s="2" t="s">
        <v>156</v>
      </c>
    </row>
    <row r="7" customFormat="false" ht="42" hidden="false" customHeight="true" outlineLevel="0" collapsed="false">
      <c r="A7" s="2" t="s">
        <v>157</v>
      </c>
      <c r="B7" s="2" t="s">
        <v>158</v>
      </c>
      <c r="C7" s="2" t="s">
        <v>159</v>
      </c>
      <c r="D7" s="2" t="s">
        <v>160</v>
      </c>
    </row>
    <row r="8" customFormat="false" ht="42" hidden="false" customHeight="true" outlineLevel="0" collapsed="false">
      <c r="A8" s="2" t="s">
        <v>161</v>
      </c>
      <c r="B8" s="3" t="s">
        <v>162</v>
      </c>
      <c r="C8" s="2" t="s">
        <v>163</v>
      </c>
      <c r="D8" s="2" t="s">
        <v>164</v>
      </c>
    </row>
    <row r="9" customFormat="false" ht="42" hidden="false" customHeight="true" outlineLevel="0" collapsed="false">
      <c r="A9" s="3" t="s">
        <v>165</v>
      </c>
      <c r="B9" s="2" t="s">
        <v>166</v>
      </c>
      <c r="C9" s="2" t="s">
        <v>167</v>
      </c>
      <c r="D9" s="2" t="s">
        <v>168</v>
      </c>
    </row>
    <row r="10" customFormat="false" ht="42" hidden="false" customHeight="true" outlineLevel="0" collapsed="false">
      <c r="A10" s="3" t="s">
        <v>169</v>
      </c>
      <c r="B10" s="2" t="s">
        <v>166</v>
      </c>
      <c r="C10" s="2" t="s">
        <v>170</v>
      </c>
      <c r="D10" s="2" t="s">
        <v>171</v>
      </c>
    </row>
    <row r="11" customFormat="false" ht="42" hidden="false" customHeight="true" outlineLevel="0" collapsed="false">
      <c r="A11" s="2" t="s">
        <v>172</v>
      </c>
      <c r="B11" s="2" t="s">
        <v>173</v>
      </c>
      <c r="C11" s="2" t="s">
        <v>174</v>
      </c>
      <c r="D11" s="2" t="s">
        <v>175</v>
      </c>
    </row>
    <row r="12" customFormat="false" ht="42" hidden="false" customHeight="true" outlineLevel="0" collapsed="false">
      <c r="A12" s="2" t="s">
        <v>176</v>
      </c>
      <c r="B12" s="2" t="s">
        <v>177</v>
      </c>
      <c r="C12" s="2" t="s">
        <v>178</v>
      </c>
      <c r="D12" s="2" t="s">
        <v>179</v>
      </c>
    </row>
    <row r="13" customFormat="false" ht="42" hidden="false" customHeight="true" outlineLevel="0" collapsed="false">
      <c r="A13" s="2" t="s">
        <v>180</v>
      </c>
      <c r="B13" s="2" t="s">
        <v>181</v>
      </c>
      <c r="C13" s="2" t="s">
        <v>182</v>
      </c>
      <c r="D13" s="2" t="s">
        <v>183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2026-10-28T09:35:23Z</dcterms:created>
  <dc:creator>openpyxl</dc:creator>
  <dc:description/>
  <dc:language>en-US</dc:language>
  <cp:lastModifiedBy/>
  <dcterms:modified xsi:type="dcterms:W3CDTF">2026-10-28T09:35:23Z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