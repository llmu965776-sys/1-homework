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互动平台文献矩阵" sheetId="2" state="visible" r:id="rId2"/>
    <sheet xmlns:r="http://schemas.openxmlformats.org/officeDocument/2006/relationships" name="文献页码索引" sheetId="3" state="visible" r:id="rId3"/>
    <sheet xmlns:r="http://schemas.openxmlformats.org/officeDocument/2006/relationships" name="5题主表" sheetId="4" state="visible" r:id="rId4"/>
    <sheet xmlns:r="http://schemas.openxmlformats.org/officeDocument/2006/relationships" name="提问前证据目录" sheetId="5" state="visible" r:id="rId5"/>
    <sheet xmlns:r="http://schemas.openxmlformats.org/officeDocument/2006/relationships" name="参考答案_勿输入模型" sheetId="6" state="visible" r:id="rId6"/>
    <sheet xmlns:r="http://schemas.openxmlformats.org/officeDocument/2006/relationships" name="事后回复索引_勿输入" sheetId="7" state="visible" r:id="rId7"/>
    <sheet xmlns:r="http://schemas.openxmlformats.org/officeDocument/2006/relationships" name="数值复算" sheetId="8" state="visible" r:id="rId8"/>
    <sheet xmlns:r="http://schemas.openxmlformats.org/officeDocument/2006/relationships" name="复核与变更" sheetId="9" state="visible" r:id="rId9"/>
    <sheet xmlns:r="http://schemas.openxmlformats.org/officeDocument/2006/relationships" name="旧稿与不可得文献" sheetId="10" state="visible" r:id="rId10"/>
    <sheet xmlns:r="http://schemas.openxmlformats.org/officeDocument/2006/relationships" name="版本变化与误读防止" sheetId="11" state="visible" r:id="rId11"/>
    <sheet xmlns:r="http://schemas.openxmlformats.org/officeDocument/2006/relationships" name="8家公司候选池" sheetId="12" state="visible" r:id="rId12"/>
    <sheet xmlns:r="http://schemas.openxmlformats.org/officeDocument/2006/relationships" name="样本与任务分配" sheetId="13" state="visible" r:id="rId13"/>
    <sheet xmlns:r="http://schemas.openxmlformats.org/officeDocument/2006/relationships" name="API预算测算" sheetId="14" state="visible" r:id="rId14"/>
    <sheet xmlns:r="http://schemas.openxmlformats.org/officeDocument/2006/relationships" name="预算与计费规则" sheetId="15" state="visible" r:id="rId15"/>
    <sheet xmlns:r="http://schemas.openxmlformats.org/officeDocument/2006/relationships" name="修订日程" sheetId="16" state="visible" r:id="rId16"/>
  </sheets>
  <definedNames>
    <definedName name="_xlnm._FilterDatabase" localSheetId="0" hidden="1">'使用说明'!$A$1:$B$13</definedName>
    <definedName name="_xlnm.Print_Titles" localSheetId="0">'使用说明'!$1:$1</definedName>
    <definedName name="_xlnm._FilterDatabase" localSheetId="1" hidden="1">'互动平台文献矩阵'!$A$1:$N$4</definedName>
    <definedName name="_xlnm.Print_Titles" localSheetId="1">'互动平台文献矩阵'!$1:$1</definedName>
    <definedName name="_xlnm._FilterDatabase" localSheetId="2" hidden="1">'文献页码索引'!$A$1:$E$18</definedName>
    <definedName name="_xlnm.Print_Titles" localSheetId="2">'文献页码索引'!$1:$1</definedName>
    <definedName name="_xlnm._FilterDatabase" localSheetId="3" hidden="1">'5题主表'!$A$1:$M$6</definedName>
    <definedName name="_xlnm.Print_Titles" localSheetId="3">'5题主表'!$1:$1</definedName>
    <definedName name="_xlnm._FilterDatabase" localSheetId="4" hidden="1">'提问前证据目录'!$A$1:$K$9</definedName>
    <definedName name="_xlnm.Print_Titles" localSheetId="4">'提问前证据目录'!$1:$1</definedName>
    <definedName name="_xlnm._FilterDatabase" localSheetId="5" hidden="1">'参考答案_勿输入模型'!$A$1:$G$6</definedName>
    <definedName name="_xlnm.Print_Titles" localSheetId="5">'参考答案_勿输入模型'!$1:$1</definedName>
    <definedName name="_xlnm._FilterDatabase" localSheetId="6" hidden="1">'事后回复索引_勿输入'!$A$1:$E$6</definedName>
    <definedName name="_xlnm.Print_Titles" localSheetId="6">'事后回复索引_勿输入'!$1:$1</definedName>
    <definedName name="_xlnm._FilterDatabase" localSheetId="7" hidden="1">'数值复算'!$A$1:$F$10</definedName>
    <definedName name="_xlnm.Print_Titles" localSheetId="7">'数值复算'!$1:$1</definedName>
    <definedName name="_xlnm._FilterDatabase" localSheetId="8" hidden="1">'复核与变更'!$A$1:$C$8</definedName>
    <definedName name="_xlnm.Print_Titles" localSheetId="8">'复核与变更'!$1:$1</definedName>
    <definedName name="_xlnm._FilterDatabase" localSheetId="9" hidden="1">'旧稿与不可得文献'!$A$1:$N$3</definedName>
    <definedName name="_xlnm.Print_Titles" localSheetId="9">'旧稿与不可得文献'!$1:$1</definedName>
    <definedName name="_xlnm._FilterDatabase" localSheetId="10" hidden="1">'版本变化与误读防止'!$A$1:$D$11</definedName>
    <definedName name="_xlnm.Print_Titles" localSheetId="10">'版本变化与误读防止'!$1:$1</definedName>
    <definedName name="_xlnm._FilterDatabase" localSheetId="11" hidden="1">'8家公司候选池'!$A$1:$I$9</definedName>
    <definedName name="_xlnm.Print_Titles" localSheetId="11">'8家公司候选池'!$1:$1</definedName>
    <definedName name="_xlnm._FilterDatabase" localSheetId="12" hidden="1">'样本与任务分配'!$A$1:$C$12</definedName>
    <definedName name="_xlnm.Print_Titles" localSheetId="12">'样本与任务分配'!$1:$1</definedName>
    <definedName name="_xlnm._FilterDatabase" localSheetId="13" hidden="1">'API预算测算'!$A$1:$K$3</definedName>
    <definedName name="_xlnm.Print_Titles" localSheetId="13">'API预算测算'!$1:$1</definedName>
    <definedName name="_xlnm._FilterDatabase" localSheetId="14" hidden="1">'预算与计费规则'!$A$1:$C$16</definedName>
    <definedName name="_xlnm.Print_Titles" localSheetId="14">'预算与计费规则'!$1:$1</definedName>
    <definedName name="_xlnm._FilterDatabase" localSheetId="15" hidden="1">'修订日程'!$A$1:$C$10</definedName>
    <definedName name="_xlnm.Print_Titles" localSheetId="15">'修订日程'!$1:$1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name val="Noto Sans CJK SC"/>
      <b val="1"/>
      <color rgb="00FFFFFF"/>
      <sz val="11"/>
    </font>
    <font>
      <name val="Noto Sans CJK SC"/>
      <color rgb="00263746"/>
      <sz val="10"/>
    </font>
    <font>
      <name val="Noto Sans CJK SC"/>
      <color rgb="00176D9A"/>
      <sz val="10"/>
      <u val="single"/>
    </font>
  </fonts>
  <fills count="4">
    <fill>
      <patternFill/>
    </fill>
    <fill>
      <patternFill patternType="gray125"/>
    </fill>
    <fill>
      <patternFill patternType="solid">
        <fgColor rgb="00173D56"/>
      </patternFill>
    </fill>
    <fill>
      <patternFill patternType="solid">
        <fgColor rgb="00F1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pers.ssrn.com/sol3/papers.cfm?abstract_id=4281898" TargetMode="External" Id="rId1"/><Relationship Type="http://schemas.openxmlformats.org/officeDocument/2006/relationships/hyperlink" Target="https://xbbjb.nau.edu.cn/sjyjjyj/article/abstract/20260204010" TargetMode="External" Id="rId2"/><Relationship Type="http://schemas.openxmlformats.org/officeDocument/2006/relationships/hyperlink" Target="https://qks.shufe.edu.cn/j/PDFFull/17794c14-b22d-4e71-b91b-053fc480a45a.pdf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irm.cninfo.com.cn/interview/interview/activityInfo?activityId=1437191345574051840" TargetMode="External" Id="rId1"/><Relationship Type="http://schemas.openxmlformats.org/officeDocument/2006/relationships/hyperlink" Target="https://irm.cninfo.com.cn/interview/interview/activityInfo?activityId=1437191345574051840" TargetMode="External" Id="rId2"/><Relationship Type="http://schemas.openxmlformats.org/officeDocument/2006/relationships/hyperlink" Target="https://irm.cninfo.com.cn/interview/interview/activityInfo?activityId=1437191345574051840" TargetMode="External" Id="rId3"/><Relationship Type="http://schemas.openxmlformats.org/officeDocument/2006/relationships/hyperlink" Target="https://irm.cninfo.com.cn/interview/interview/activityInfo?activityId=1437191345574051840" TargetMode="External" Id="rId4"/><Relationship Type="http://schemas.openxmlformats.org/officeDocument/2006/relationships/hyperlink" Target="https://irm.cninfo.com.cn/interview/interview/activityInfo?activityId=1437191345574051840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static.cninfo.com.cn/finalpage/2026-04-29/1225251420.PDF" TargetMode="External" Id="rId1"/><Relationship Type="http://schemas.openxmlformats.org/officeDocument/2006/relationships/hyperlink" Target="https://static.cninfo.com.cn/finalpage/2026-04-29/1225251420.PDF" TargetMode="External" Id="rId2"/><Relationship Type="http://schemas.openxmlformats.org/officeDocument/2006/relationships/hyperlink" Target="https://static.cninfo.com.cn/finalpage/2026-04-29/1225251431.PDF" TargetMode="External" Id="rId3"/><Relationship Type="http://schemas.openxmlformats.org/officeDocument/2006/relationships/hyperlink" Target="https://static.cninfo.com.cn/finalpage/2026-04-29/1225251420.PDF" TargetMode="External" Id="rId4"/><Relationship Type="http://schemas.openxmlformats.org/officeDocument/2006/relationships/hyperlink" Target="https://static.cninfo.com.cn/finalpage/2026-04-29/1225251420.PDF" TargetMode="External" Id="rId5"/><Relationship Type="http://schemas.openxmlformats.org/officeDocument/2006/relationships/hyperlink" Target="https://static.cninfo.com.cn/finalpage/2026-04-29/1225251420.PDF" TargetMode="External" Id="rId6"/><Relationship Type="http://schemas.openxmlformats.org/officeDocument/2006/relationships/hyperlink" Target="https://static.cninfo.com.cn/finalpage/2026-04-29/1225251420.PDF" TargetMode="External" Id="rId7"/><Relationship Type="http://schemas.openxmlformats.org/officeDocument/2006/relationships/hyperlink" Target="https://static.cninfo.com.cn/finalpage/2026-04-29/1225251420.PDF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hyperlink" Target="https://irm.cninfo.com.cn/interview/interview/activityInfo?activityId=1437191345574051840" TargetMode="External" Id="rId1"/><Relationship Type="http://schemas.openxmlformats.org/officeDocument/2006/relationships/hyperlink" Target="https://irm.cninfo.com.cn/interview/interview/activityInfo?activityId=1437191345574051840" TargetMode="External" Id="rId2"/><Relationship Type="http://schemas.openxmlformats.org/officeDocument/2006/relationships/hyperlink" Target="https://irm.cninfo.com.cn/interview/interview/activityInfo?activityId=1437191345574051840" TargetMode="External" Id="rId3"/><Relationship Type="http://schemas.openxmlformats.org/officeDocument/2006/relationships/hyperlink" Target="https://irm.cninfo.com.cn/interview/interview/activityInfo?activityId=1437191345574051840" TargetMode="External" Id="rId4"/><Relationship Type="http://schemas.openxmlformats.org/officeDocument/2006/relationships/hyperlink" Target="https://irm.cninfo.com.cn/interview/interview/activityInfo?activityId=1437191345574051840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cfrn.com.cn/uploads/fileupload/0801529a6f80445a9f00f037dbad7090/paper/795b512d87614c30aace40388cb634cc.pdf" TargetMode="External" Id="rId1"/><Relationship Type="http://schemas.openxmlformats.org/officeDocument/2006/relationships/hyperlink" Target="https://doi.org/10.1016/j.frl.2022.10341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https://api-docs.deepseek.com/zh-cn/quick_start/pricing/" TargetMode="External" Id="rId1"/><Relationship Type="http://schemas.openxmlformats.org/officeDocument/2006/relationships/hyperlink" Target="https://console.volcengine.com/ark/region%3Acn-beijing/docs/model-prici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32" customHeight="1">
      <c r="A1" s="1" t="inlineStr">
        <is>
          <t>事项</t>
        </is>
      </c>
      <c r="B1" s="1" t="inlineStr">
        <is>
          <t>说明</t>
        </is>
      </c>
    </row>
    <row r="2" ht="67" customHeight="1">
      <c r="A2" s="2" t="inlineStr">
        <is>
          <t>版本</t>
        </is>
      </c>
      <c r="B2" s="2" t="inlineStr">
        <is>
          <t>v0.3；2026-10-19。核心3篇：L11b工作论文、L13与L14期刊论文。L11a与L11b只算同一项研究。</t>
        </is>
      </c>
    </row>
    <row r="3" ht="67" customHeight="1">
      <c r="A3" s="3" t="inlineStr">
        <is>
          <t>团队现状</t>
        </is>
      </c>
      <c r="B3" s="3" t="inlineStr">
        <is>
          <t>据用户回复：预实验仍收集题目/证据；公司未定；拟用DeepSeek和豆包；API上限100元。</t>
        </is>
      </c>
    </row>
    <row r="4" ht="67" customHeight="1">
      <c r="A4" s="2" t="inlineStr">
        <is>
          <t>全文状态</t>
        </is>
      </c>
      <c r="B4" s="2" t="inlineStr">
        <is>
          <t>两份上传PDF已核读；L14已读取期刊官网完整PDF，提供直链；L12退出核心论证。</t>
        </is>
      </c>
    </row>
    <row r="5" ht="67" customHeight="1">
      <c r="A5" s="3" t="inlineStr">
        <is>
          <t>页码</t>
        </is>
      </c>
      <c r="B5" s="3" t="inlineStr">
        <is>
          <t>两种页码均从1起。L11b PDF=印刷+1；L13 PDF=印刷−93；L14 PDF=印刷−152。</t>
        </is>
      </c>
    </row>
    <row r="6" ht="67" customHeight="1">
      <c r="A6" s="2" t="inlineStr">
        <is>
          <t>5题用途</t>
        </is>
      </c>
      <c r="B6" s="2" t="inlineStr">
        <is>
          <t>沿用v0.2的5条智动力pilot，不进入80条正式题。来源为同场业绩说明会，不能代表所有日常互动。</t>
        </is>
      </c>
    </row>
    <row r="7" ht="67" customHeight="1">
      <c r="A7" s="3" t="inlineStr">
        <is>
          <t>证据时点</t>
        </is>
      </c>
      <c r="B7" s="3" t="inlineStr">
        <is>
          <t>统一截至2026-05-19 23:59:59北京时间；只含此前公开资料。参考答案和事后回复须隔离。</t>
        </is>
      </c>
    </row>
    <row r="8" ht="67" customHeight="1">
      <c r="A8" s="2" t="inlineStr">
        <is>
          <t>未完成的输入准备</t>
        </is>
      </c>
      <c r="B8" s="2" t="inlineStr">
        <is>
          <t>5题来源、证据索引和参考答案已整理；完整公告原页尚未本地归档，B/D复核未完成，不能标注已完成预实验。</t>
        </is>
      </c>
    </row>
    <row r="9" ht="67" customHeight="1">
      <c r="A9" s="3" t="inlineStr">
        <is>
          <t>预算性质</t>
        </is>
      </c>
      <c r="B9" s="3" t="inlineStr">
        <is>
          <t>预算表为情景测算而非实测费用；按2026-10-19查见价格，正式调用前冻结并记录实际账单。</t>
        </is>
      </c>
    </row>
    <row r="10" ht="67" customHeight="1">
      <c r="A10" s="2" t="inlineStr">
        <is>
          <t>模型状态</t>
        </is>
      </c>
      <c r="B10" s="2" t="inlineStr">
        <is>
          <t>推荐方案待C完成账号可用性测试。模型别名可能更新；记录返回model、时间、服务版本及价格快照。</t>
        </is>
      </c>
    </row>
    <row r="11" ht="67" customHeight="1">
      <c r="A11" s="3" t="inlineStr">
        <is>
          <t>未执行项</t>
        </is>
      </c>
      <c r="B11" s="3" t="inlineStr">
        <is>
          <t>未运行模型/人工实验、未独立双评；费用、耗时、合格率无实测值。</t>
        </is>
      </c>
    </row>
    <row r="12" ht="67" customHeight="1">
      <c r="A12" s="2" t="inlineStr">
        <is>
          <t>正式人工隔离</t>
        </is>
      </c>
      <c r="B12" s="2" t="inlineStr">
        <is>
          <t>A/C不提前阅读正式人工24题的答案或草稿；同一人不重复同题；这5条已公开pilot不能进入。</t>
        </is>
      </c>
    </row>
    <row r="13" ht="67" customHeight="1">
      <c r="A13" s="3" t="inlineStr">
        <is>
          <t>文件交付</t>
        </is>
      </c>
      <c r="B13" s="3" t="inlineStr">
        <is>
          <t>本次研究材料以实际Word/PDF/Excel文件纳入Git仓库deliverables目录；下载与内容说明见同目录README。仍是研究启动材料，不是赛事最终报告。</t>
        </is>
      </c>
    </row>
  </sheetData>
  <autoFilter ref="A1:B13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  <col width="55" customWidth="1" min="4" max="4"/>
    <col width="55" customWidth="1" min="5" max="5"/>
    <col width="80" customWidth="1" min="6" max="6"/>
    <col width="95" customWidth="1" min="7" max="7"/>
    <col width="80" customWidth="1" min="8" max="8"/>
    <col width="70" customWidth="1" min="9" max="9"/>
    <col width="85" customWidth="1" min="10" max="10"/>
    <col width="95" customWidth="1" min="11" max="11"/>
    <col width="80" customWidth="1" min="12" max="12"/>
    <col width="70" customWidth="1" min="13" max="13"/>
    <col width="65" customWidth="1" min="14" max="14"/>
  </cols>
  <sheetData>
    <row r="1" ht="32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105" customHeight="1">
      <c r="A2" s="2" t="inlineStr">
        <is>
          <t>L11b</t>
        </is>
      </c>
      <c r="B2" s="2" t="inlineStr">
        <is>
          <t>Retail Investor Interactive Platform Activity and Information Asymmetry Among Investors: Should Regulators be Concerned?</t>
        </is>
      </c>
      <c r="C2" s="2" t="inlineStr">
        <is>
          <t>Zhenhua Chen; William J. Mayew; Wentao Ren; Pengcheng Zhu</t>
        </is>
      </c>
      <c r="D2" s="2" t="inlineStr">
        <is>
          <t>2025-08-05工作论文；用户上传46页PDF；不是已发表期刊论文</t>
        </is>
      </c>
      <c r="E2" s="2" t="inlineStr">
        <is>
          <t>已核读上传全文及附表；取代L11a作为本研究主引版本</t>
        </is>
      </c>
      <c r="F2" s="2" t="inlineStr">
        <is>
          <t>深市2010-01、沪市2013-07起，至2022-06。清理后4,404,092条帖子、4,152,730条回复；回归样本4,680公司、7,818,963公司—交易日。平台活动公司4,814家不是回归公司数。</t>
        </is>
      </c>
      <c r="G2" s="2" t="inlineStr">
        <is>
          <t>报价相对价差SPREAD_Q，单位基点；发帖/回复数量、总字数取ln(1+x)。BERT区分提问/评论及直接回答/非回答。时效分组阈值56.98小时。</t>
        </is>
      </c>
      <c r="H2" s="2" t="inlineStr">
        <is>
          <t>高质量回复与较低报价价差关联更强；2018—2022年及时与不及时高质量回复的差异不显著。回复相对提问的关联较弱；结果不能直接解释为因果或投资收益。</t>
        </is>
      </c>
      <c r="I2" s="2" t="inlineStr">
        <is>
          <t>OLS，公司和日期固定效应，双向聚类；无清晰外生冲击；替代价差指标下结论敏感。</t>
        </is>
      </c>
      <c r="J2" s="2" t="inlineStr">
        <is>
          <t>样本pp.9–10；质量pp.18–19、附录C pp.33–34；时效p.21、表6B p.45；主结果表5C p.43；边界pp.24–26。PDF序号=正文页+1。</t>
        </is>
      </c>
      <c r="K2" s="2" t="inlineStr">
        <is>
          <t>“直接回答”不等于事实正确；低质量不是幻觉率。文中把不能提供投资建议列为非回答，不能机械迁移到本研究。未测量回复成本，不能推断整体社会净收益。</t>
        </is>
      </c>
      <c r="L2" s="2" t="inlineStr">
        <is>
          <t>借鉴双人标注和分类验证；把回复质量进一步拆成事实、证据、覆盖、边界与过度拒答；填补生产成本测量。</t>
        </is>
      </c>
      <c r="M2" s="2" t="inlineStr">
        <is>
          <t>未实测API/人工成本；模型训练分类准确率不是我们的生成回复合格率。</t>
        </is>
      </c>
      <c r="N2" s="4" t="inlineStr">
        <is>
          <t>https://papers.ssrn.com/sol3/papers.cfm?abstract_id=4281898</t>
        </is>
      </c>
    </row>
    <row r="3" ht="105" customHeight="1">
      <c r="A3" s="3" t="inlineStr">
        <is>
          <t>L13</t>
        </is>
      </c>
      <c r="B3" s="3" t="inlineStr">
        <is>
          <t>投资者互动监督与企业真实盈余管理——基于大语言模型的证据</t>
        </is>
      </c>
      <c r="C3" s="3" t="inlineStr">
        <is>
          <t>樊犇；吴燕博；刘恒源</t>
        </is>
      </c>
      <c r="D3" s="3" t="inlineStr">
        <is>
          <t>审计与经济研究，2026，41(4)：94–104</t>
        </is>
      </c>
      <c r="E3" s="3" t="inlineStr">
        <is>
          <t>上传11页PDF已逐页图像核读；文字层乱码，关键公式和表格以原页为准</t>
        </is>
      </c>
      <c r="F3" s="3" t="inlineStr">
        <is>
          <t>2011—2023年沪深A股；25,996个公司—年度观测；公司数量正文未明确报告。剔除金融、房地产、ST/*ST/PT及缺失样本。</t>
        </is>
      </c>
      <c r="G3" s="3" t="inlineStr">
        <is>
          <t>Word2vec扩词初筛350,474帖，Qwen2.5-72B识别310,572监督帖；Iig=ln(1+公司年度监督帖数)。基准REM按p.97式(4)为R_CFO+R_PROD+R_DISEXP；p.99稳健性REMs为−R_CFO+R_PROD−R_DISEXP，须分别记录。</t>
        </is>
      </c>
      <c r="H3" s="3" t="inlineStr">
        <is>
          <t>表2列(3)Iig系数−0.0022，作者标示1%显著；互动监督与较少真实盈余管理有关。机制分析涉及信息透明度及资源获取。</t>
        </is>
      </c>
      <c r="I3" s="3" t="inlineStr">
        <is>
          <t>公司/年度固定效应，公司聚类；替代指标与固定效应、工具变量2SLS及Heckman等。工具变量排除限制仍依赖假设。</t>
        </is>
      </c>
      <c r="J3" s="3" t="inlineStr">
        <is>
          <t>样本与REM pp.97–98；LLM及提示词p.98脚注5；N与基准表2 p.99；内生性p.100；机制p.101；分组pp.102–103。PDF序号=印刷页−93。</t>
        </is>
      </c>
      <c r="K3" s="3" t="inlineStr">
        <is>
          <t>正文未报告独立人工验证集准确率/混淆矩阵；关键词预筛可能遗漏监督帖。LLM只测量监督，不生成投关回复。分组一显著一不显著不自动等于组间差异显著。</t>
        </is>
      </c>
      <c r="L3" s="3" t="inlineStr">
        <is>
          <t>说明“AI用于互动文本”已有研究；创新放在证据约束、边界流程和质量调整成本，而非首次使用大模型。</t>
        </is>
      </c>
      <c r="M3" s="3" t="inlineStr">
        <is>
          <t>模型调用费用、Token、精确服务版本、独立标注验证不详；不补造这些字段。</t>
        </is>
      </c>
      <c r="N3" s="5" t="inlineStr">
        <is>
          <t>https://xbbjb.nau.edu.cn/sjyjjyj/article/abstract/20260204010</t>
        </is>
      </c>
    </row>
    <row r="4" ht="105" customHeight="1">
      <c r="A4" s="2" t="inlineStr">
        <is>
          <t>L14</t>
        </is>
      </c>
      <c r="B4" s="2" t="inlineStr">
        <is>
          <t>网络平台互动与股票异质性风险</t>
        </is>
      </c>
      <c r="C4" s="2" t="inlineStr">
        <is>
          <t>徐寿福；郑迎飞；罗雨杰</t>
        </is>
      </c>
      <c r="D4" s="2" t="inlineStr">
        <is>
          <t>财经研究，2022，48(10)：153–168；DOI:10.16538/j.cnki.jfe.20220614.102</t>
        </is>
      </c>
      <c r="E4" s="2" t="inlineStr">
        <is>
          <t>期刊官网完整16页PDF及HTML已核读；替换无法取得全文的L12</t>
        </is>
      </c>
      <c r="F4" s="2" t="inlineStr">
        <is>
          <t>深市2010—2020、沪市2013-07—2020；92,155公司—季度观测（p.156）。</t>
        </is>
      </c>
      <c r="G4" s="2" t="inlineStr">
        <is>
          <t>互动频次及平均文本字数取ln(1+x)；CAPM残差季度波动衡量异质性风险（p.157）。</t>
        </is>
      </c>
      <c r="H4" s="2" t="inlineStr">
        <is>
          <t>互动程度与异质性风险正相关；意见分歧为解释机制（pp.159、162）。</t>
        </is>
      </c>
      <c r="I4" s="2" t="inlineStr">
        <is>
          <t>公司/季度固定效应；另做2SLS（pp.158–160）。</t>
        </is>
      </c>
      <c r="J4" s="2" t="inlineStr">
        <is>
          <t>样本p.156；指标p.157；表3 p.159；机制p.162；结论p.165。PDF序号=印刷页−152。</t>
        </is>
      </c>
      <c r="K4" s="2" t="inlineStr">
        <is>
          <t>观察性证据；不能据此认定AI回复造成股价风险。</t>
        </is>
      </c>
      <c r="L4" s="2" t="inlineStr">
        <is>
          <t>为“回复增加未必改善信息环境”提供反面背景。</t>
        </is>
      </c>
      <c r="M4" s="2" t="inlineStr">
        <is>
          <t>非AI生成实验，无可直接迁用的合格回复成本。</t>
        </is>
      </c>
      <c r="N4" s="4" t="inlineStr">
        <is>
          <t>https://qks.shufe.edu.cn/j/PDFFull/17794c14-b22d-4e71-b91b-053fc480a45a.pdf</t>
        </is>
      </c>
    </row>
  </sheetData>
  <autoFilter ref="A1:N4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25" customWidth="1" min="4" max="4"/>
    <col width="110" customWidth="1" min="5" max="5"/>
  </cols>
  <sheetData>
    <row r="1" ht="32" customHeight="1">
      <c r="A1" s="1" t="inlineStr">
        <is>
          <t>文献</t>
        </is>
      </c>
      <c r="B1" s="1" t="inlineStr">
        <is>
          <t>核查项</t>
        </is>
      </c>
      <c r="C1" s="1" t="inlineStr">
        <is>
          <t>正文印刷页</t>
        </is>
      </c>
      <c r="D1" s="1" t="inlineStr">
        <is>
          <t>PDF页序_从1起</t>
        </is>
      </c>
      <c r="E1" s="1" t="inlineStr">
        <is>
          <t>定位说明</t>
        </is>
      </c>
    </row>
    <row r="2" ht="67" customHeight="1">
      <c r="A2" s="2" t="inlineStr">
        <is>
          <t>L11b</t>
        </is>
      </c>
      <c r="B2" s="2" t="inlineStr">
        <is>
          <t>平台文本样本</t>
        </is>
      </c>
      <c r="C2" s="2" t="inlineStr">
        <is>
          <t>9</t>
        </is>
      </c>
      <c r="D2" s="2" t="inlineStr">
        <is>
          <t>10</t>
        </is>
      </c>
      <c r="E2" s="2" t="inlineStr">
        <is>
          <t>4,404,092帖；4,152,730回复；4,814有活动公司。</t>
        </is>
      </c>
    </row>
    <row r="3" ht="67" customHeight="1">
      <c r="A3" s="3" t="inlineStr">
        <is>
          <t>L11b</t>
        </is>
      </c>
      <c r="B3" s="3" t="inlineStr">
        <is>
          <t>回归样本与价差</t>
        </is>
      </c>
      <c r="C3" s="3" t="inlineStr">
        <is>
          <t>10</t>
        </is>
      </c>
      <c r="D3" s="3" t="inlineStr">
        <is>
          <t>11</t>
        </is>
      </c>
      <c r="E3" s="3" t="inlineStr">
        <is>
          <t>7,818,963公司—交易日、4,680公司；价差以基点计。</t>
        </is>
      </c>
    </row>
    <row r="4" ht="67" customHeight="1">
      <c r="A4" s="2" t="inlineStr">
        <is>
          <t>L11b</t>
        </is>
      </c>
      <c r="B4" s="2" t="inlineStr">
        <is>
          <t>帖子分类验证</t>
        </is>
      </c>
      <c r="C4" s="2" t="inlineStr">
        <is>
          <t>15–16</t>
        </is>
      </c>
      <c r="D4" s="2" t="inlineStr">
        <is>
          <t>16–17</t>
        </is>
      </c>
      <c r="E4" s="2" t="inlineStr">
        <is>
          <t>3,000条人工标注；2,000训练/1,000测试；提问/评论准确率94.30%。</t>
        </is>
      </c>
    </row>
    <row r="5" ht="67" customHeight="1">
      <c r="A5" s="3" t="inlineStr">
        <is>
          <t>L11b</t>
        </is>
      </c>
      <c r="B5" s="3" t="inlineStr">
        <is>
          <t>回复质量定义</t>
        </is>
      </c>
      <c r="C5" s="3" t="inlineStr">
        <is>
          <t>18–19</t>
        </is>
      </c>
      <c r="D5" s="3" t="inlineStr">
        <is>
          <t>19–20</t>
        </is>
      </c>
      <c r="E5" s="3" t="inlineStr">
        <is>
          <t>直接回答/非回答；不采用问答相似度代表质量。</t>
        </is>
      </c>
    </row>
    <row r="6" ht="67" customHeight="1">
      <c r="A6" s="2" t="inlineStr">
        <is>
          <t>L11b</t>
        </is>
      </c>
      <c r="B6" s="2" t="inlineStr">
        <is>
          <t>回复分类验证</t>
        </is>
      </c>
      <c r="C6" s="2" t="inlineStr">
        <is>
          <t>33–34（附录C）</t>
        </is>
      </c>
      <c r="D6" s="2" t="inlineStr">
        <is>
          <t>34–35</t>
        </is>
      </c>
      <c r="E6" s="2" t="inlineStr">
        <is>
          <t>3,000条标注，2,000训练/1,000测试；准确率92.00%，不是94.30%。</t>
        </is>
      </c>
    </row>
    <row r="7" ht="67" customHeight="1">
      <c r="A7" s="3" t="inlineStr">
        <is>
          <t>L11b</t>
        </is>
      </c>
      <c r="B7" s="3" t="inlineStr">
        <is>
          <t>低质量回复比例</t>
        </is>
      </c>
      <c r="C7" s="3" t="inlineStr">
        <is>
          <t>19</t>
        </is>
      </c>
      <c r="D7" s="3" t="inlineStr">
        <is>
          <t>20</t>
        </is>
      </c>
      <c r="E7" s="3" t="inlineStr">
        <is>
          <t>所有回复24.2%；针对问题回复19.6%，分母不同。不是事实错误率。</t>
        </is>
      </c>
    </row>
    <row r="8" ht="67" customHeight="1">
      <c r="A8" s="2" t="inlineStr">
        <is>
          <t>L11b</t>
        </is>
      </c>
      <c r="B8" s="2" t="inlineStr">
        <is>
          <t>时效与近期样本差异</t>
        </is>
      </c>
      <c r="C8" s="2" t="inlineStr">
        <is>
          <t>21；45（表6B）</t>
        </is>
      </c>
      <c r="D8" s="2" t="inlineStr">
        <is>
          <t>22；46</t>
        </is>
      </c>
      <c r="E8" s="2" t="inlineStr">
        <is>
          <t>阈值56.98小时；近期质量回复时效差异不显著，p=.38（数量）、.54（长度）。</t>
        </is>
      </c>
    </row>
    <row r="9" ht="67" customHeight="1">
      <c r="A9" s="3" t="inlineStr">
        <is>
          <t>L11b</t>
        </is>
      </c>
      <c r="B9" s="3" t="inlineStr">
        <is>
          <t>质量差异结果</t>
        </is>
      </c>
      <c r="C9" s="3" t="inlineStr">
        <is>
          <t>43（表5C）</t>
        </is>
      </c>
      <c r="D9" s="3" t="inlineStr">
        <is>
          <t>44</t>
        </is>
      </c>
      <c r="E9" s="3" t="inlineStr">
        <is>
          <t>分期呈现，不能把回复相关系数解释成成本收益或投资回报。</t>
        </is>
      </c>
    </row>
    <row r="10" ht="67" customHeight="1">
      <c r="A10" s="2" t="inlineStr">
        <is>
          <t>L11b</t>
        </is>
      </c>
      <c r="B10" s="2" t="inlineStr">
        <is>
          <t>识别与指标敏感性</t>
        </is>
      </c>
      <c r="C10" s="2" t="inlineStr">
        <is>
          <t>24–25</t>
        </is>
      </c>
      <c r="D10" s="2" t="inlineStr">
        <is>
          <t>25–26</t>
        </is>
      </c>
      <c r="E10" s="2" t="inlineStr">
        <is>
          <t>无外生冲击；低频高低价价差下结果存在差异。</t>
        </is>
      </c>
    </row>
    <row r="11" ht="67" customHeight="1">
      <c r="A11" s="3" t="inlineStr">
        <is>
          <t>L11b</t>
        </is>
      </c>
      <c r="B11" s="3" t="inlineStr">
        <is>
          <t>成本缺口</t>
        </is>
      </c>
      <c r="C11" s="3" t="inlineStr">
        <is>
          <t>5；25–26</t>
        </is>
      </c>
      <c r="D11" s="3" t="inlineStr">
        <is>
          <t>6；26–27</t>
        </is>
      </c>
      <c r="E11" s="3" t="inlineStr">
        <is>
          <t>没有测量回复成本；未给出总体成本收益结论。</t>
        </is>
      </c>
    </row>
    <row r="12" ht="67" customHeight="1">
      <c r="A12" s="2" t="inlineStr">
        <is>
          <t>L13</t>
        </is>
      </c>
      <c r="B12" s="2" t="inlineStr">
        <is>
          <t>样本筛选及盈余管理</t>
        </is>
      </c>
      <c r="C12" s="2" t="inlineStr">
        <is>
          <t>97–98</t>
        </is>
      </c>
      <c r="D12" s="2" t="inlineStr">
        <is>
          <t>4–5</t>
        </is>
      </c>
      <c r="E12" s="2" t="inlineStr">
        <is>
          <t>2011—2023；基准式(4)与稳健性公式分别记录。</t>
        </is>
      </c>
    </row>
    <row r="13" ht="67" customHeight="1">
      <c r="A13" s="3" t="inlineStr">
        <is>
          <t>L13</t>
        </is>
      </c>
      <c r="B13" s="3" t="inlineStr">
        <is>
          <t>监督指标及模型提示词</t>
        </is>
      </c>
      <c r="C13" s="3" t="inlineStr">
        <is>
          <t>98、脚注5</t>
        </is>
      </c>
      <c r="D13" s="3" t="inlineStr">
        <is>
          <t>5</t>
        </is>
      </c>
      <c r="E13" s="3" t="inlineStr">
        <is>
          <t>Word2vec初筛350,474帖；Qwen2.5-72B识别310,572监督帖。</t>
        </is>
      </c>
    </row>
    <row r="14" ht="67" customHeight="1">
      <c r="A14" s="2" t="inlineStr">
        <is>
          <t>L13</t>
        </is>
      </c>
      <c r="B14" s="2" t="inlineStr">
        <is>
          <t>样本量/基准结果</t>
        </is>
      </c>
      <c r="C14" s="2" t="inlineStr">
        <is>
          <t>99，表1、表2</t>
        </is>
      </c>
      <c r="D14" s="2" t="inlineStr">
        <is>
          <t>6</t>
        </is>
      </c>
      <c r="E14" s="2" t="inlineStr">
        <is>
          <t>25,996公司—年；Iig系数−0.0022（作者标示***）。</t>
        </is>
      </c>
    </row>
    <row r="15" ht="67" customHeight="1">
      <c r="A15" s="3" t="inlineStr">
        <is>
          <t>L13</t>
        </is>
      </c>
      <c r="B15" s="3" t="inlineStr">
        <is>
          <t>内生性处理</t>
        </is>
      </c>
      <c r="C15" s="3" t="inlineStr">
        <is>
          <t>100，表4</t>
        </is>
      </c>
      <c r="D15" s="3" t="inlineStr">
        <is>
          <t>7</t>
        </is>
      </c>
      <c r="E15" s="3" t="inlineStr">
        <is>
          <t>两类工具变量/Heckman；不把统计检验通过当成排除限制证明。</t>
        </is>
      </c>
    </row>
    <row r="16" ht="67" customHeight="1">
      <c r="A16" s="2" t="inlineStr">
        <is>
          <t>L13</t>
        </is>
      </c>
      <c r="B16" s="2" t="inlineStr">
        <is>
          <t>机制</t>
        </is>
      </c>
      <c r="C16" s="2" t="inlineStr">
        <is>
          <t>101，表5、表6</t>
        </is>
      </c>
      <c r="D16" s="2" t="inlineStr">
        <is>
          <t>8</t>
        </is>
      </c>
      <c r="E16" s="2" t="inlineStr">
        <is>
          <t>信息透明度和资源获取指标；不能宣称实验验证了因果中介。</t>
        </is>
      </c>
    </row>
    <row r="17" ht="67" customHeight="1">
      <c r="A17" s="3" t="inlineStr">
        <is>
          <t>L13</t>
        </is>
      </c>
      <c r="B17" s="3" t="inlineStr">
        <is>
          <t>分组与结论</t>
        </is>
      </c>
      <c r="C17" s="3" t="inlineStr">
        <is>
          <t>102–103，表7、表8</t>
        </is>
      </c>
      <c r="D17" s="3" t="inlineStr">
        <is>
          <t>9–10</t>
        </is>
      </c>
      <c r="E17" s="3" t="inlineStr">
        <is>
          <t>部分子组显著，需谨慎解释组间差异。</t>
        </is>
      </c>
    </row>
    <row r="18" ht="67" customHeight="1">
      <c r="A18" s="2" t="inlineStr">
        <is>
          <t>L14</t>
        </is>
      </c>
      <c r="B18" s="2" t="inlineStr">
        <is>
          <t>样本/指标/结果定位</t>
        </is>
      </c>
      <c r="C18" s="2" t="inlineStr">
        <is>
          <t>156；157；159；162；165</t>
        </is>
      </c>
      <c r="D18" s="2" t="inlineStr">
        <is>
          <t>4；5；7；10；13</t>
        </is>
      </c>
      <c r="E18" s="2" t="inlineStr">
        <is>
          <t>样本；变量；表3；机制；结论。</t>
        </is>
      </c>
    </row>
  </sheetData>
  <autoFilter ref="A1:E18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8" customWidth="1" min="4" max="4"/>
    <col width="30" customWidth="1" min="5" max="5"/>
    <col width="30" customWidth="1" min="6" max="6"/>
    <col width="85" customWidth="1" min="7" max="7"/>
    <col width="65" customWidth="1" min="8" max="8"/>
    <col width="30" customWidth="1" min="9" max="9"/>
    <col width="14" customWidth="1" min="10" max="10"/>
    <col width="34" customWidth="1" min="11" max="11"/>
    <col width="24" customWidth="1" min="12" max="12"/>
    <col width="45" customWidth="1" min="13" max="13"/>
  </cols>
  <sheetData>
    <row r="1" ht="32" customHeight="1">
      <c r="A1" s="1" t="inlineStr">
        <is>
          <t>question_id</t>
        </is>
      </c>
      <c r="B1" s="1" t="inlineStr">
        <is>
          <t>公司</t>
        </is>
      </c>
      <c r="C1" s="1" t="inlineStr">
        <is>
          <t>证券代码</t>
        </is>
      </c>
      <c r="D1" s="1" t="inlineStr">
        <is>
          <t>交易所/行业</t>
        </is>
      </c>
      <c r="E1" s="1" t="inlineStr">
        <is>
          <t>source_type</t>
        </is>
      </c>
      <c r="F1" s="1" t="inlineStr">
        <is>
          <t>question_time_BJT</t>
        </is>
      </c>
      <c r="G1" s="1" t="inlineStr">
        <is>
          <t>question_raw</t>
        </is>
      </c>
      <c r="H1" s="1" t="inlineStr">
        <is>
          <t>source_url</t>
        </is>
      </c>
      <c r="I1" s="1" t="inlineStr">
        <is>
          <t>evidence_cutoff_BJT</t>
        </is>
      </c>
      <c r="J1" s="1" t="inlineStr">
        <is>
          <t>split</t>
        </is>
      </c>
      <c r="K1" s="1" t="inlineStr">
        <is>
          <t>暂定题型</t>
        </is>
      </c>
      <c r="L1" s="1" t="inlineStr">
        <is>
          <t>evidence_ids</t>
        </is>
      </c>
      <c r="M1" s="1" t="inlineStr">
        <is>
          <t>状态</t>
        </is>
      </c>
    </row>
    <row r="2" ht="90" customHeight="1">
      <c r="A2" s="2" t="inlineStr">
        <is>
          <t>P-A01</t>
        </is>
      </c>
      <c r="B2" s="2" t="inlineStr">
        <is>
          <t>智动力</t>
        </is>
      </c>
      <c r="C2" s="2" t="inlineStr">
        <is>
          <t>300686</t>
        </is>
      </c>
      <c r="D2" s="2" t="inlineStr">
        <is>
          <t>深交所；C39</t>
        </is>
      </c>
      <c r="E2" s="2" t="inlineStr">
        <is>
          <t>互动易云访谈/业绩说明会</t>
        </is>
      </c>
      <c r="F2" s="2" t="inlineStr">
        <is>
          <t>2026-05-20 15:01:57+08:00</t>
        </is>
      </c>
      <c r="G2" s="2" t="inlineStr">
        <is>
          <t>2025年归属于上市公司股东的净利润亏损1.34亿元，较上年同期亏损幅度有所收窄，请问归母净利润减亏的主要驱动因素是什么？</t>
        </is>
      </c>
      <c r="H2" s="4" t="inlineStr">
        <is>
          <t>https://irm.cninfo.com.cn/interview/interview/activityInfo?activityId=1437191345574051840</t>
        </is>
      </c>
      <c r="I2" s="2" t="inlineStr">
        <is>
          <t>2026-05-19 23:59:59+08:00</t>
        </is>
      </c>
      <c r="J2" s="2" t="inlineStr">
        <is>
          <t>pilot</t>
        </is>
      </c>
      <c r="K2" s="2" t="inlineStr">
        <is>
          <t>B 综合解释</t>
        </is>
      </c>
      <c r="L2" s="2" t="inlineStr">
        <is>
          <t>E01</t>
        </is>
      </c>
      <c r="M2" s="2" t="inlineStr">
        <is>
          <t>来源及证据页已核；待双人复核、原页归档</t>
        </is>
      </c>
    </row>
    <row r="3" ht="90" customHeight="1">
      <c r="A3" s="3" t="inlineStr">
        <is>
          <t>P-A02</t>
        </is>
      </c>
      <c r="B3" s="3" t="inlineStr">
        <is>
          <t>智动力</t>
        </is>
      </c>
      <c r="C3" s="3" t="inlineStr">
        <is>
          <t>300686</t>
        </is>
      </c>
      <c r="D3" s="3" t="inlineStr">
        <is>
          <t>深交所；C39</t>
        </is>
      </c>
      <c r="E3" s="3" t="inlineStr">
        <is>
          <t>互动易云访谈/业绩说明会</t>
        </is>
      </c>
      <c r="F3" s="3" t="inlineStr">
        <is>
          <t>2026-05-20 15:10:13+08:00</t>
        </is>
      </c>
      <c r="G3" s="3" t="inlineStr">
        <is>
          <t>请问，公司研发费用2025年同比增长19.78%，2026年一季度增长46.25%，投入的重点方向是什么？</t>
        </is>
      </c>
      <c r="H3" s="5" t="inlineStr">
        <is>
          <t>https://irm.cninfo.com.cn/interview/interview/activityInfo?activityId=1437191345574051840</t>
        </is>
      </c>
      <c r="I3" s="3" t="inlineStr">
        <is>
          <t>2026-05-19 23:59:59+08:00</t>
        </is>
      </c>
      <c r="J3" s="3" t="inlineStr">
        <is>
          <t>pilot</t>
        </is>
      </c>
      <c r="K3" s="3" t="inlineStr">
        <is>
          <t>C 部分可答（季度分配缺口）</t>
        </is>
      </c>
      <c r="L3" s="3" t="inlineStr">
        <is>
          <t>E02;E03</t>
        </is>
      </c>
      <c r="M3" s="3" t="inlineStr">
        <is>
          <t>来源及证据页已核；待双人复核、原页归档</t>
        </is>
      </c>
    </row>
    <row r="4" ht="90" customHeight="1">
      <c r="A4" s="2" t="inlineStr">
        <is>
          <t>P-A03</t>
        </is>
      </c>
      <c r="B4" s="2" t="inlineStr">
        <is>
          <t>智动力</t>
        </is>
      </c>
      <c r="C4" s="2" t="inlineStr">
        <is>
          <t>300686</t>
        </is>
      </c>
      <c r="D4" s="2" t="inlineStr">
        <is>
          <t>深交所；C39</t>
        </is>
      </c>
      <c r="E4" s="2" t="inlineStr">
        <is>
          <t>互动易云访谈/业绩说明会</t>
        </is>
      </c>
      <c r="F4" s="2" t="inlineStr">
        <is>
          <t>2026-05-20 15:21:42+08:00</t>
        </is>
      </c>
      <c r="G4" s="2" t="inlineStr">
        <is>
          <t>公司海外业务的发展情况如何？2025年海外收入占比是多少？未来在海外市场有哪些拓展计划？</t>
        </is>
      </c>
      <c r="H4" s="4" t="inlineStr">
        <is>
          <t>https://irm.cninfo.com.cn/interview/interview/activityInfo?activityId=1437191345574051840</t>
        </is>
      </c>
      <c r="I4" s="2" t="inlineStr">
        <is>
          <t>2026-05-19 23:59:59+08:00</t>
        </is>
      </c>
      <c r="J4" s="2" t="inlineStr">
        <is>
          <t>pilot</t>
        </is>
      </c>
      <c r="K4" s="2" t="inlineStr">
        <is>
          <t>B 综合解释</t>
        </is>
      </c>
      <c r="L4" s="2" t="inlineStr">
        <is>
          <t>E04;E05;E08</t>
        </is>
      </c>
      <c r="M4" s="2" t="inlineStr">
        <is>
          <t>来源及证据页已核；待双人复核、原页归档</t>
        </is>
      </c>
    </row>
    <row r="5" ht="90" customHeight="1">
      <c r="A5" s="3" t="inlineStr">
        <is>
          <t>P-A04</t>
        </is>
      </c>
      <c r="B5" s="3" t="inlineStr">
        <is>
          <t>智动力</t>
        </is>
      </c>
      <c r="C5" s="3" t="inlineStr">
        <is>
          <t>300686</t>
        </is>
      </c>
      <c r="D5" s="3" t="inlineStr">
        <is>
          <t>深交所；C39</t>
        </is>
      </c>
      <c r="E5" s="3" t="inlineStr">
        <is>
          <t>互动易云访谈/业绩说明会</t>
        </is>
      </c>
      <c r="F5" s="3" t="inlineStr">
        <is>
          <t>2026-05-20 15:24:38+08:00</t>
        </is>
      </c>
      <c r="G5" s="3" t="inlineStr">
        <is>
          <t>公司固液混合产品未来的主要应用方向是什么？为什么选择这些应用领域？</t>
        </is>
      </c>
      <c r="H5" s="5" t="inlineStr">
        <is>
          <t>https://irm.cninfo.com.cn/interview/interview/activityInfo?activityId=1437191345574051840</t>
        </is>
      </c>
      <c r="I5" s="3" t="inlineStr">
        <is>
          <t>2026-05-19 23:59:59+08:00</t>
        </is>
      </c>
      <c r="J5" s="3" t="inlineStr">
        <is>
          <t>pilot</t>
        </is>
      </c>
      <c r="K5" s="3" t="inlineStr">
        <is>
          <t>B 综合解释（范围受限）</t>
        </is>
      </c>
      <c r="L5" s="3" t="inlineStr">
        <is>
          <t>E06;E08</t>
        </is>
      </c>
      <c r="M5" s="3" t="inlineStr">
        <is>
          <t>来源及证据页已核；待双人复核、原页归档</t>
        </is>
      </c>
    </row>
    <row r="6" ht="90" customHeight="1">
      <c r="A6" s="2" t="inlineStr">
        <is>
          <t>P-A05</t>
        </is>
      </c>
      <c r="B6" s="2" t="inlineStr">
        <is>
          <t>智动力</t>
        </is>
      </c>
      <c r="C6" s="2" t="inlineStr">
        <is>
          <t>300686</t>
        </is>
      </c>
      <c r="D6" s="2" t="inlineStr">
        <is>
          <t>深交所；C39</t>
        </is>
      </c>
      <c r="E6" s="2" t="inlineStr">
        <is>
          <t>互动易云访谈/业绩说明会</t>
        </is>
      </c>
      <c r="F6" s="2" t="inlineStr">
        <is>
          <t>2026-05-20 15:29:28+08:00</t>
        </is>
      </c>
      <c r="G6" s="2" t="inlineStr">
        <is>
          <t>公司之前终止了部分低效的募投项目，请问这些项目的剩余资金将如何使用？</t>
        </is>
      </c>
      <c r="H6" s="4" t="inlineStr">
        <is>
          <t>https://irm.cninfo.com.cn/interview/interview/activityInfo?activityId=1437191345574051840</t>
        </is>
      </c>
      <c r="I6" s="2" t="inlineStr">
        <is>
          <t>2026-05-19 23:59:59+08:00</t>
        </is>
      </c>
      <c r="J6" s="2" t="inlineStr">
        <is>
          <t>pilot</t>
        </is>
      </c>
      <c r="K6" s="2" t="inlineStr">
        <is>
          <t>A 直接事实</t>
        </is>
      </c>
      <c r="L6" s="2" t="inlineStr">
        <is>
          <t>E07</t>
        </is>
      </c>
      <c r="M6" s="2" t="inlineStr">
        <is>
          <t>来源及证据页已核；待双人复核、原页归档</t>
        </is>
      </c>
    </row>
  </sheetData>
  <autoFilter ref="A1:M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8" customWidth="1" min="4" max="4"/>
    <col width="24" customWidth="1" min="5" max="5"/>
    <col width="25" customWidth="1" min="6" max="6"/>
    <col width="50" customWidth="1" min="7" max="7"/>
    <col width="70" customWidth="1" min="8" max="8"/>
    <col width="40" customWidth="1" min="9" max="9"/>
    <col width="25" customWidth="1" min="10" max="10"/>
    <col width="45" customWidth="1" min="11" max="11"/>
  </cols>
  <sheetData>
    <row r="1" ht="32" customHeight="1">
      <c r="A1" s="1" t="inlineStr">
        <is>
          <t>evidence_id</t>
        </is>
      </c>
      <c r="B1" s="1" t="inlineStr">
        <is>
          <t>文件名称</t>
        </is>
      </c>
      <c r="C1" s="1" t="inlineStr">
        <is>
          <t>公告编号</t>
        </is>
      </c>
      <c r="D1" s="1" t="inlineStr">
        <is>
          <t>披露日期</t>
        </is>
      </c>
      <c r="E1" s="1" t="inlineStr">
        <is>
          <t>正文页=PDF页序</t>
        </is>
      </c>
      <c r="F1" s="1" t="inlineStr">
        <is>
          <t>关联题</t>
        </is>
      </c>
      <c r="G1" s="1" t="inlineStr">
        <is>
          <t>定位主题</t>
        </is>
      </c>
      <c r="H1" s="1" t="inlineStr">
        <is>
          <t>原件URL</t>
        </is>
      </c>
      <c r="I1" s="1" t="inlineStr">
        <is>
          <t>时点核查</t>
        </is>
      </c>
      <c r="J1" s="1" t="inlineStr">
        <is>
          <t>材料类型</t>
        </is>
      </c>
      <c r="K1" s="1" t="inlineStr">
        <is>
          <t>原件归档状态</t>
        </is>
      </c>
    </row>
    <row r="2" ht="90" customHeight="1">
      <c r="A2" s="2" t="inlineStr">
        <is>
          <t>E01</t>
        </is>
      </c>
      <c r="B2" s="2" t="inlineStr">
        <is>
          <t>2025年年度报告全文</t>
        </is>
      </c>
      <c r="C2" s="2" t="inlineStr">
        <is>
          <t>2026-009</t>
        </is>
      </c>
      <c r="D2" s="2" t="inlineStr">
        <is>
          <t>2026-04-29</t>
        </is>
      </c>
      <c r="E2" s="2" t="inlineStr">
        <is>
          <t>8、10</t>
        </is>
      </c>
      <c r="F2" s="2" t="inlineStr">
        <is>
          <t>P-A01</t>
        </is>
      </c>
      <c r="G2" s="2" t="inlineStr">
        <is>
          <t>主要财务指标；非经常性损益表</t>
        </is>
      </c>
      <c r="H2" s="4" t="inlineStr">
        <is>
          <t>https://static.cninfo.com.cn/finalpage/2026-04-29/1225251420.PDF</t>
        </is>
      </c>
      <c r="I2" s="2" t="inlineStr">
        <is>
          <t>早于统一截止；具体披露分钟未核</t>
        </is>
      </c>
      <c r="J2" s="2" t="inlineStr">
        <is>
          <t>公司公开披露文件</t>
        </is>
      </c>
      <c r="K2" s="2" t="inlineStr">
        <is>
          <t>链接/页码已核；完整PDF未随包保存</t>
        </is>
      </c>
    </row>
    <row r="3" ht="90" customHeight="1">
      <c r="A3" s="3" t="inlineStr">
        <is>
          <t>E02</t>
        </is>
      </c>
      <c r="B3" s="3" t="inlineStr">
        <is>
          <t>2025年年度报告全文</t>
        </is>
      </c>
      <c r="C3" s="3" t="inlineStr">
        <is>
          <t>2026-009</t>
        </is>
      </c>
      <c r="D3" s="3" t="inlineStr">
        <is>
          <t>2026-04-29</t>
        </is>
      </c>
      <c r="E3" s="3" t="inlineStr">
        <is>
          <t>25–26</t>
        </is>
      </c>
      <c r="F3" s="3" t="inlineStr">
        <is>
          <t>P-A02</t>
        </is>
      </c>
      <c r="G3" s="3" t="inlineStr">
        <is>
          <t>年度研发费用与研发项目表</t>
        </is>
      </c>
      <c r="H3" s="5" t="inlineStr">
        <is>
          <t>https://static.cninfo.com.cn/finalpage/2026-04-29/1225251420.PDF</t>
        </is>
      </c>
      <c r="I3" s="3" t="inlineStr">
        <is>
          <t>早于统一截止；具体披露分钟未核</t>
        </is>
      </c>
      <c r="J3" s="3" t="inlineStr">
        <is>
          <t>公司公开披露文件</t>
        </is>
      </c>
      <c r="K3" s="3" t="inlineStr">
        <is>
          <t>链接/页码已核；完整PDF未随包保存</t>
        </is>
      </c>
    </row>
    <row r="4" ht="90" customHeight="1">
      <c r="A4" s="2" t="inlineStr">
        <is>
          <t>E03</t>
        </is>
      </c>
      <c r="B4" s="2" t="inlineStr">
        <is>
          <t>2026年第一季度报告</t>
        </is>
      </c>
      <c r="C4" s="2" t="inlineStr">
        <is>
          <t>2026-023</t>
        </is>
      </c>
      <c r="D4" s="2" t="inlineStr">
        <is>
          <t>2026-04-29</t>
        </is>
      </c>
      <c r="E4" s="2" t="inlineStr">
        <is>
          <t>3</t>
        </is>
      </c>
      <c r="F4" s="2" t="inlineStr">
        <is>
          <t>P-A02</t>
        </is>
      </c>
      <c r="G4" s="2" t="inlineStr">
        <is>
          <t>季度研发费用变动表</t>
        </is>
      </c>
      <c r="H4" s="4" t="inlineStr">
        <is>
          <t>https://static.cninfo.com.cn/finalpage/2026-04-29/1225251431.PDF</t>
        </is>
      </c>
      <c r="I4" s="2" t="inlineStr">
        <is>
          <t>早于统一截止；具体披露分钟未核</t>
        </is>
      </c>
      <c r="J4" s="2" t="inlineStr">
        <is>
          <t>公司公开披露文件</t>
        </is>
      </c>
      <c r="K4" s="2" t="inlineStr">
        <is>
          <t>链接/页码已核；完整PDF未随包保存</t>
        </is>
      </c>
    </row>
    <row r="5" ht="90" customHeight="1">
      <c r="A5" s="3" t="inlineStr">
        <is>
          <t>E04</t>
        </is>
      </c>
      <c r="B5" s="3" t="inlineStr">
        <is>
          <t>2025年年度报告全文</t>
        </is>
      </c>
      <c r="C5" s="3" t="inlineStr">
        <is>
          <t>2026-009</t>
        </is>
      </c>
      <c r="D5" s="3" t="inlineStr">
        <is>
          <t>2026-04-29</t>
        </is>
      </c>
      <c r="E5" s="3" t="inlineStr">
        <is>
          <t>21</t>
        </is>
      </c>
      <c r="F5" s="3" t="inlineStr">
        <is>
          <t>P-A03</t>
        </is>
      </c>
      <c r="G5" s="3" t="inlineStr">
        <is>
          <t>营业收入构成：按地区</t>
        </is>
      </c>
      <c r="H5" s="5" t="inlineStr">
        <is>
          <t>https://static.cninfo.com.cn/finalpage/2026-04-29/1225251420.PDF</t>
        </is>
      </c>
      <c r="I5" s="3" t="inlineStr">
        <is>
          <t>早于统一截止；具体披露分钟未核</t>
        </is>
      </c>
      <c r="J5" s="3" t="inlineStr">
        <is>
          <t>公司公开披露文件</t>
        </is>
      </c>
      <c r="K5" s="3" t="inlineStr">
        <is>
          <t>链接/页码已核；完整PDF未随包保存</t>
        </is>
      </c>
    </row>
    <row r="6" ht="90" customHeight="1">
      <c r="A6" s="2" t="inlineStr">
        <is>
          <t>E05</t>
        </is>
      </c>
      <c r="B6" s="2" t="inlineStr">
        <is>
          <t>2025年年度报告全文</t>
        </is>
      </c>
      <c r="C6" s="2" t="inlineStr">
        <is>
          <t>2026-009</t>
        </is>
      </c>
      <c r="D6" s="2" t="inlineStr">
        <is>
          <t>2026-04-29</t>
        </is>
      </c>
      <c r="E6" s="2" t="inlineStr">
        <is>
          <t>31–33</t>
        </is>
      </c>
      <c r="F6" s="2" t="inlineStr">
        <is>
          <t>P-A03</t>
        </is>
      </c>
      <c r="G6" s="2" t="inlineStr">
        <is>
          <t>子公司及未来发展展望</t>
        </is>
      </c>
      <c r="H6" s="4" t="inlineStr">
        <is>
          <t>https://static.cninfo.com.cn/finalpage/2026-04-29/1225251420.PDF</t>
        </is>
      </c>
      <c r="I6" s="2" t="inlineStr">
        <is>
          <t>早于统一截止；具体披露分钟未核</t>
        </is>
      </c>
      <c r="J6" s="2" t="inlineStr">
        <is>
          <t>公司公开披露文件</t>
        </is>
      </c>
      <c r="K6" s="2" t="inlineStr">
        <is>
          <t>链接/页码已核；完整PDF未随包保存</t>
        </is>
      </c>
    </row>
    <row r="7" ht="90" customHeight="1">
      <c r="A7" s="3" t="inlineStr">
        <is>
          <t>E06</t>
        </is>
      </c>
      <c r="B7" s="3" t="inlineStr">
        <is>
          <t>2025年年度报告全文</t>
        </is>
      </c>
      <c r="C7" s="3" t="inlineStr">
        <is>
          <t>2026-009</t>
        </is>
      </c>
      <c r="D7" s="3" t="inlineStr">
        <is>
          <t>2026-04-29</t>
        </is>
      </c>
      <c r="E7" s="3" t="inlineStr">
        <is>
          <t>12–13</t>
        </is>
      </c>
      <c r="F7" s="3" t="inlineStr">
        <is>
          <t>P-A04</t>
        </is>
      </c>
      <c r="G7" s="3" t="inlineStr">
        <is>
          <t>电池技术路线、应用表与需求背景</t>
        </is>
      </c>
      <c r="H7" s="5" t="inlineStr">
        <is>
          <t>https://static.cninfo.com.cn/finalpage/2026-04-29/1225251420.PDF</t>
        </is>
      </c>
      <c r="I7" s="3" t="inlineStr">
        <is>
          <t>早于统一截止；具体披露分钟未核</t>
        </is>
      </c>
      <c r="J7" s="3" t="inlineStr">
        <is>
          <t>公司公开披露文件</t>
        </is>
      </c>
      <c r="K7" s="3" t="inlineStr">
        <is>
          <t>链接/页码已核；完整PDF未随包保存</t>
        </is>
      </c>
    </row>
    <row r="8" ht="90" customHeight="1">
      <c r="A8" s="2" t="inlineStr">
        <is>
          <t>E07</t>
        </is>
      </c>
      <c r="B8" s="2" t="inlineStr">
        <is>
          <t>2025年年度报告全文</t>
        </is>
      </c>
      <c r="C8" s="2" t="inlineStr">
        <is>
          <t>2026-009</t>
        </is>
      </c>
      <c r="D8" s="2" t="inlineStr">
        <is>
          <t>2026-04-29</t>
        </is>
      </c>
      <c r="E8" s="2" t="inlineStr">
        <is>
          <t>62、64–66</t>
        </is>
      </c>
      <c r="F8" s="2" t="inlineStr">
        <is>
          <t>P-A05</t>
        </is>
      </c>
      <c r="G8" s="2" t="inlineStr">
        <is>
          <t>终止募投及剩余募集资金处理</t>
        </is>
      </c>
      <c r="H8" s="4" t="inlineStr">
        <is>
          <t>https://static.cninfo.com.cn/finalpage/2026-04-29/1225251420.PDF</t>
        </is>
      </c>
      <c r="I8" s="2" t="inlineStr">
        <is>
          <t>早于统一截止；具体披露分钟未核</t>
        </is>
      </c>
      <c r="J8" s="2" t="inlineStr">
        <is>
          <t>公司公开披露文件</t>
        </is>
      </c>
      <c r="K8" s="2" t="inlineStr">
        <is>
          <t>链接/页码已核；完整PDF未随包保存</t>
        </is>
      </c>
    </row>
    <row r="9" ht="90" customHeight="1">
      <c r="A9" s="3" t="inlineStr">
        <is>
          <t>E08</t>
        </is>
      </c>
      <c r="B9" s="3" t="inlineStr">
        <is>
          <t>2025年年度报告全文</t>
        </is>
      </c>
      <c r="C9" s="3" t="inlineStr">
        <is>
          <t>2026-009</t>
        </is>
      </c>
      <c r="D9" s="3" t="inlineStr">
        <is>
          <t>2026-04-29</t>
        </is>
      </c>
      <c r="E9" s="3" t="inlineStr">
        <is>
          <t>2、33</t>
        </is>
      </c>
      <c r="F9" s="3" t="inlineStr">
        <is>
          <t>P-A03；P-A04</t>
        </is>
      </c>
      <c r="G9" s="3" t="inlineStr">
        <is>
          <t>前瞻性陈述及新业务风险说明</t>
        </is>
      </c>
      <c r="H9" s="5" t="inlineStr">
        <is>
          <t>https://static.cninfo.com.cn/finalpage/2026-04-29/1225251420.PDF</t>
        </is>
      </c>
      <c r="I9" s="3" t="inlineStr">
        <is>
          <t>早于统一截止；具体披露分钟未核</t>
        </is>
      </c>
      <c r="J9" s="3" t="inlineStr">
        <is>
          <t>公司公开披露文件</t>
        </is>
      </c>
      <c r="K9" s="3" t="inlineStr">
        <is>
          <t>链接/页码已核；完整PDF未随包保存</t>
        </is>
      </c>
    </row>
  </sheetData>
  <autoFilter ref="A1:K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0" customWidth="1" min="2" max="2"/>
    <col width="70" customWidth="1" min="3" max="3"/>
    <col width="70" customWidth="1" min="4" max="4"/>
    <col width="60" customWidth="1" min="5" max="5"/>
    <col width="24" customWidth="1" min="6" max="6"/>
    <col width="38" customWidth="1" min="7" max="7"/>
  </cols>
  <sheetData>
    <row r="1" ht="32" customHeight="1">
      <c r="A1" s="1" t="inlineStr">
        <is>
          <t>question_id</t>
        </is>
      </c>
      <c r="B1" s="1" t="inlineStr">
        <is>
          <t>参考答案_研究者撰写</t>
        </is>
      </c>
      <c r="C1" s="1" t="inlineStr">
        <is>
          <t>核心覆盖点</t>
        </is>
      </c>
      <c r="D1" s="1" t="inlineStr">
        <is>
          <t>主要错误/过度拒答风险</t>
        </is>
      </c>
      <c r="E1" s="1" t="inlineStr">
        <is>
          <t>未能确认的范围</t>
        </is>
      </c>
      <c r="F1" s="1" t="inlineStr">
        <is>
          <t>对应证据</t>
        </is>
      </c>
      <c r="G1" s="1" t="inlineStr">
        <is>
          <t>评分状态</t>
        </is>
      </c>
    </row>
    <row r="2" ht="90" customHeight="1">
      <c r="A2" s="2" t="inlineStr">
        <is>
          <t>P-A01</t>
        </is>
      </c>
      <c r="B2" s="2" t="inlineStr">
        <is>
          <t>按年报作会计分解：归母同比减亏2,062.53万元，非经常性损益改善2,415.97万元，扣非归母反而下降353.43万元。主要体现非经常性损益改善，不能据此称主营业务扭亏。[E01]</t>
        </is>
      </c>
      <c r="C2" s="2" t="inlineStr">
        <is>
          <t>①承认仍亏损；②解释非经常性损益贡献；③提示扣非表现。可用等价且有出处的分解。</t>
        </is>
      </c>
      <c r="D2" s="2" t="inlineStr">
        <is>
          <t>只说营收增长/降本增效；忽略扣非恶化；把会计分解说成已识别的经营因果。</t>
        </is>
      </c>
      <c r="E2" s="2" t="inlineStr">
        <is>
          <t>公告不足以量化每项经营措施的因果贡献。</t>
        </is>
      </c>
      <c r="F2" s="2" t="inlineStr">
        <is>
          <t>E01</t>
        </is>
      </c>
      <c r="G2" s="2" t="inlineStr">
        <is>
          <t>待B/D试标，不冒充唯一标准</t>
        </is>
      </c>
    </row>
    <row r="3" ht="90" customHeight="1">
      <c r="A3" s="3" t="inlineStr">
        <is>
          <t>P-A02</t>
        </is>
      </c>
      <c r="B3" s="3" t="inlineStr">
        <is>
          <t>两期增幅可核实。年报研发项目涉及背板结构、复合板材及电池生产治具。可介绍这些已披露方向，但所给一季报未分项说明新增研发费用的项目分配。[E02–E03]</t>
        </is>
      </c>
      <c r="C3" s="3" t="inlineStr">
        <is>
          <t>①年度与季度期间不混淆；②列出有证据的研发方向；③不把年度项目表等同季度新增预算分配。</t>
        </is>
      </c>
      <c r="D3" s="3" t="inlineStr">
        <is>
          <t>把研发增量全部归到固态电池；捏造各方向金额/占比；资料已有项目仍一概拒答。</t>
        </is>
      </c>
      <c r="E3" s="3" t="inlineStr">
        <is>
          <t>季度新增研发费用按项目分配未见于当前证据包；不是宣称全网从未披露。</t>
        </is>
      </c>
      <c r="F3" s="3" t="inlineStr">
        <is>
          <t>E02;E03</t>
        </is>
      </c>
      <c r="G3" s="3" t="inlineStr">
        <is>
          <t>待B/D试标，不冒充唯一标准</t>
        </is>
      </c>
    </row>
    <row r="4" ht="90" customHeight="1">
      <c r="A4" s="2" t="inlineStr">
        <is>
          <t>P-A03</t>
        </is>
      </c>
      <c r="B4" s="2" t="inlineStr">
        <is>
          <t>2025年境外收入约3.53亿元，占22.20%，同比下降24.01%。公司在越南设有生产布局，已披露计划涉及优化含越南在内的产能与协同；计划不等于订单或业绩保证。[E04–E05、E08]</t>
        </is>
      </c>
      <c r="C4" s="2" t="inlineStr">
        <is>
          <t>①金额、占比和同比口径；②已披露布局/计划；③计划与实现结果区分。</t>
        </is>
      </c>
      <c r="D4" s="2" t="inlineStr">
        <is>
          <t>把越南单家子公司的收入当全部境外收入；预测未披露订单；只因问题含“未来”而全部拒答。</t>
        </is>
      </c>
      <c r="E4" s="2" t="inlineStr">
        <is>
          <t>具体新增客户、订单额和收益无法由现有证据确认。</t>
        </is>
      </c>
      <c r="F4" s="2" t="inlineStr">
        <is>
          <t>E04;E05;E08</t>
        </is>
      </c>
      <c r="G4" s="2" t="inlineStr">
        <is>
          <t>待B/D试标，不冒充唯一标准</t>
        </is>
      </c>
    </row>
    <row r="5" ht="90" customHeight="1">
      <c r="A5" s="3" t="inlineStr">
        <is>
          <t>P-A04</t>
        </is>
      </c>
      <c r="B5" s="3" t="inlineStr">
        <is>
          <t>年报将固液混合电池等对应载重型低空飞行器、人形机器人，并讨论相关场景的能量密度、安全与寿命需求。可解释这一适配逻辑；不能据此确认客户订单或量产成效。[E06、E08]</t>
        </is>
      </c>
      <c r="C5" s="3" t="inlineStr">
        <is>
          <t>①已披露应用；②需求与产品的适配解释；③区分公司表述、技术验证和商业实现。</t>
        </is>
      </c>
      <c r="D5" s="3" t="inlineStr">
        <is>
          <t>把事后回复新增的细分应用当提问前证据；混淆固液混合与全固态性能；把应用方向说成已量产供货。</t>
        </is>
      </c>
      <c r="E5" s="3" t="inlineStr">
        <is>
          <t>更细的客户、性能实测和订单需另有提问前依据。</t>
        </is>
      </c>
      <c r="F5" s="3" t="inlineStr">
        <is>
          <t>E06;E08</t>
        </is>
      </c>
      <c r="G5" s="3" t="inlineStr">
        <is>
          <t>待B/D试标，不冒充唯一标准</t>
        </is>
      </c>
    </row>
    <row r="6" ht="90" customHeight="1">
      <c r="A6" s="2" t="inlineStr">
        <is>
          <t>P-A05</t>
        </is>
      </c>
      <c r="B6" s="2" t="inlineStr">
        <is>
          <t>年报披露，相关三个项目终止后的剩余募集资金324,274,902.04元用于永久补充流动资金。不能进一步推断已全部投向某一新业务。[E07]</t>
        </is>
      </c>
      <c r="C6" s="2" t="inlineStr">
        <is>
          <t>①永久补充流动资金；②金额及口径；③已披露决策与具体实际支出分开。</t>
        </is>
      </c>
      <c r="D6" s="2" t="inlineStr">
        <is>
          <t>误称转投某固态电池项目；把拟议金额当最终金额；照抄事后公司回复来补证据。</t>
        </is>
      </c>
      <c r="E6" s="2" t="inlineStr">
        <is>
          <t>永久补流不等同于某业务获得同额专款，具体支出去向须另证。</t>
        </is>
      </c>
      <c r="F6" s="2" t="inlineStr">
        <is>
          <t>E07</t>
        </is>
      </c>
      <c r="G6" s="2" t="inlineStr">
        <is>
          <t>待B/D试标，不冒充唯一标准</t>
        </is>
      </c>
    </row>
  </sheetData>
  <autoFilter ref="A1:G6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65" customWidth="1" min="3" max="3"/>
    <col width="70" customWidth="1" min="4" max="4"/>
    <col width="65" customWidth="1" min="5" max="5"/>
  </cols>
  <sheetData>
    <row r="1" ht="32" customHeight="1">
      <c r="A1" s="1" t="inlineStr">
        <is>
          <t>question_id</t>
        </is>
      </c>
      <c r="B1" s="1" t="inlineStr">
        <is>
          <t>回复时点_BJT</t>
        </is>
      </c>
      <c r="C1" s="1" t="inlineStr">
        <is>
          <t>官方来源</t>
        </is>
      </c>
      <c r="D1" s="1" t="inlineStr">
        <is>
          <t>匹配与使用说明</t>
        </is>
      </c>
      <c r="E1" s="1" t="inlineStr">
        <is>
          <t>排除理由</t>
        </is>
      </c>
    </row>
    <row r="2" ht="90" customHeight="1">
      <c r="A2" s="2" t="inlineStr">
        <is>
          <t>P-A01</t>
        </is>
      </c>
      <c r="B2" s="2" t="inlineStr">
        <is>
          <t>未在当前页面提取结果中定位</t>
        </is>
      </c>
      <c r="C2" s="4" t="inlineStr">
        <is>
          <t>https://irm.cninfo.com.cn/interview/interview/activityInfo?activityId=1437191345574051840</t>
        </is>
      </c>
      <c r="D2" s="2" t="inlineStr">
        <is>
          <t>不将未提取到解释为公司未回复。</t>
        </is>
      </c>
      <c r="E2" s="2" t="inlineStr">
        <is>
          <t>提问后发生；只可事后参考，不作为模型或答案标准的唯一依据。</t>
        </is>
      </c>
    </row>
    <row r="3" ht="90" customHeight="1">
      <c r="A3" s="3" t="inlineStr">
        <is>
          <t>P-A02</t>
        </is>
      </c>
      <c r="B3" s="3" t="inlineStr">
        <is>
          <t>未在当前页面提取结果中定位</t>
        </is>
      </c>
      <c r="C3" s="5" t="inlineStr">
        <is>
          <t>https://irm.cninfo.com.cn/interview/interview/activityInfo?activityId=1437191345574051840</t>
        </is>
      </c>
      <c r="D3" s="3" t="inlineStr">
        <is>
          <t>不将未提取到解释为公司未回复。</t>
        </is>
      </c>
      <c r="E3" s="3" t="inlineStr">
        <is>
          <t>提问后发生；只可事后参考，不作为模型或答案标准的唯一依据。</t>
        </is>
      </c>
    </row>
    <row r="4" ht="90" customHeight="1">
      <c r="A4" s="2" t="inlineStr">
        <is>
          <t>P-A03</t>
        </is>
      </c>
      <c r="B4" s="2" t="inlineStr">
        <is>
          <t>2026-05-20 16:12:46+08:00</t>
        </is>
      </c>
      <c r="C4" s="4" t="inlineStr">
        <is>
          <t>https://irm.cninfo.com.cn/interview/interview/activityInfo?activityId=1437191345574051840</t>
        </is>
      </c>
      <c r="D4" s="2" t="inlineStr">
        <is>
          <t>按重复问题正文匹配回复；仅定位，不作提问前证据。</t>
        </is>
      </c>
      <c r="E4" s="2" t="inlineStr">
        <is>
          <t>提问后发生；只可事后参考，不作为模型或答案标准的唯一依据。</t>
        </is>
      </c>
    </row>
    <row r="5" ht="90" customHeight="1">
      <c r="A5" s="3" t="inlineStr">
        <is>
          <t>P-A04</t>
        </is>
      </c>
      <c r="B5" s="3" t="inlineStr">
        <is>
          <t>2026-05-20 16:11:39+08:00</t>
        </is>
      </c>
      <c r="C5" s="5" t="inlineStr">
        <is>
          <t>https://irm.cninfo.com.cn/interview/interview/activityInfo?activityId=1437191345574051840</t>
        </is>
      </c>
      <c r="D5" s="3" t="inlineStr">
        <is>
          <t>同问题在页面重复出现；本题取15:24:38的提问，未把重复条目当第六题。</t>
        </is>
      </c>
      <c r="E5" s="3" t="inlineStr">
        <is>
          <t>提问后发生；只可事后参考，不作为模型或答案标准的唯一依据。</t>
        </is>
      </c>
    </row>
    <row r="6" ht="90" customHeight="1">
      <c r="A6" s="2" t="inlineStr">
        <is>
          <t>P-A05</t>
        </is>
      </c>
      <c r="B6" s="2" t="inlineStr">
        <is>
          <t>2026-05-20 16:23:22+08:00</t>
        </is>
      </c>
      <c r="C6" s="4" t="inlineStr">
        <is>
          <t>https://irm.cninfo.com.cn/interview/interview/activityInfo?activityId=1437191345574051840</t>
        </is>
      </c>
      <c r="D6" s="2" t="inlineStr">
        <is>
          <t>页面可定位事后回复；不进入证据包。</t>
        </is>
      </c>
      <c r="E6" s="2" t="inlineStr">
        <is>
          <t>提问后发生；只可事后参考，不作为模型或答案标准的唯一依据。</t>
        </is>
      </c>
    </row>
  </sheetData>
  <autoFilter ref="A1:E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  <col width="28" customWidth="1" min="4" max="4"/>
    <col width="25" customWidth="1" min="5" max="5"/>
    <col width="85" customWidth="1" min="6" max="6"/>
  </cols>
  <sheetData>
    <row r="1" ht="32" customHeight="1">
      <c r="A1" s="1" t="inlineStr">
        <is>
          <t>指标（金额单位：元）</t>
        </is>
      </c>
      <c r="B1" s="1" t="inlineStr">
        <is>
          <t>2025/本期</t>
        </is>
      </c>
      <c r="C1" s="1" t="inlineStr">
        <is>
          <t>2024/同期</t>
        </is>
      </c>
      <c r="D1" s="1" t="inlineStr">
        <is>
          <t>变动/公式</t>
        </is>
      </c>
      <c r="E1" s="1" t="inlineStr">
        <is>
          <t>核查值</t>
        </is>
      </c>
      <c r="F1" s="1" t="inlineStr">
        <is>
          <t>来源/解释</t>
        </is>
      </c>
    </row>
    <row r="2" ht="50" customHeight="1">
      <c r="A2" s="2" t="inlineStr">
        <is>
          <t>归母净利润</t>
        </is>
      </c>
      <c r="B2" s="6" t="n">
        <v>-134368593.65</v>
      </c>
      <c r="C2" s="6" t="n">
        <v>-154993929.21</v>
      </c>
      <c r="D2" s="6">
        <f>B2-C2</f>
        <v/>
      </c>
      <c r="E2" s="6" t="n">
        <v>20625335.56</v>
      </c>
      <c r="F2" s="2" t="inlineStr">
        <is>
          <t>E01，第8页；正值为减亏额</t>
        </is>
      </c>
    </row>
    <row r="3" ht="50" customHeight="1">
      <c r="A3" s="3" t="inlineStr">
        <is>
          <t>扣非归母净利润</t>
        </is>
      </c>
      <c r="B3" s="7" t="n">
        <v>-148776056.68</v>
      </c>
      <c r="C3" s="7" t="n">
        <v>-145241722.9</v>
      </c>
      <c r="D3" s="7">
        <f>B3-C3</f>
        <v/>
      </c>
      <c r="E3" s="7" t="n">
        <v>-3534333.78</v>
      </c>
      <c r="F3" s="3" t="inlineStr">
        <is>
          <t>E01，第8页</t>
        </is>
      </c>
    </row>
    <row r="4" ht="50" customHeight="1">
      <c r="A4" s="2" t="inlineStr">
        <is>
          <t>归母非经常性损益</t>
        </is>
      </c>
      <c r="B4" s="6" t="n">
        <v>14407463.03</v>
      </c>
      <c r="C4" s="6" t="n">
        <v>-9752206.310000001</v>
      </c>
      <c r="D4" s="6">
        <f>B4-C4</f>
        <v/>
      </c>
      <c r="E4" s="6" t="n">
        <v>24159669.34</v>
      </c>
      <c r="F4" s="2" t="inlineStr">
        <is>
          <t>E01，第10页</t>
        </is>
      </c>
    </row>
    <row r="5" ht="50" customHeight="1">
      <c r="A5" s="3" t="inlineStr">
        <is>
          <t>变动勾稽检查</t>
        </is>
      </c>
      <c r="B5" s="7" t="n"/>
      <c r="C5" s="7" t="n"/>
      <c r="D5" s="7">
        <f>D2-D3-D4</f>
        <v/>
      </c>
      <c r="E5" s="7" t="n">
        <v>0</v>
      </c>
      <c r="F5" s="3" t="inlineStr">
        <is>
          <t>应为0：归母变动=扣非变动+非经常性损益变动</t>
        </is>
      </c>
    </row>
    <row r="6" ht="50" customHeight="1">
      <c r="A6" s="2" t="inlineStr">
        <is>
          <t>年度研发费用</t>
        </is>
      </c>
      <c r="B6" s="6" t="n">
        <v>96233291.27</v>
      </c>
      <c r="C6" s="6" t="n">
        <v>80338974.33</v>
      </c>
      <c r="D6" s="8">
        <f>B6/C6-1</f>
        <v/>
      </c>
      <c r="E6" s="8" t="n">
        <v>0.1978</v>
      </c>
      <c r="F6" s="2" t="inlineStr">
        <is>
          <t>E02，第25页；核查值为报告列示四舍五入增幅</t>
        </is>
      </c>
    </row>
    <row r="7" ht="50" customHeight="1">
      <c r="A7" s="3" t="inlineStr">
        <is>
          <t>2026Q1研发费用</t>
        </is>
      </c>
      <c r="B7" s="7" t="n">
        <v>24731531.93</v>
      </c>
      <c r="C7" s="7" t="n">
        <v>16910024.94</v>
      </c>
      <c r="D7" s="9">
        <f>B7/C7-1</f>
        <v/>
      </c>
      <c r="E7" s="9" t="n">
        <v>0.4625</v>
      </c>
      <c r="F7" s="3" t="inlineStr">
        <is>
          <t>E03，第3页</t>
        </is>
      </c>
    </row>
    <row r="8" ht="50" customHeight="1">
      <c r="A8" s="2" t="inlineStr">
        <is>
          <t>2025境外收入/总收入</t>
        </is>
      </c>
      <c r="B8" s="6" t="n">
        <v>353212851.24</v>
      </c>
      <c r="C8" s="6" t="n">
        <v>1591073573.72</v>
      </c>
      <c r="D8" s="8">
        <f>B8/C8</f>
        <v/>
      </c>
      <c r="E8" s="8" t="n">
        <v>0.222</v>
      </c>
      <c r="F8" s="2" t="inlineStr">
        <is>
          <t>E04，第21页；此行C列为当年总收入</t>
        </is>
      </c>
    </row>
    <row r="9" ht="50" customHeight="1">
      <c r="A9" s="3" t="inlineStr">
        <is>
          <t>境外收入同比</t>
        </is>
      </c>
      <c r="B9" s="7" t="n">
        <v>353212851.24</v>
      </c>
      <c r="C9" s="7" t="n">
        <v>464828484.55</v>
      </c>
      <c r="D9" s="9">
        <f>B9/C9-1</f>
        <v/>
      </c>
      <c r="E9" s="9" t="n">
        <v>-0.2401</v>
      </c>
      <c r="F9" s="3" t="inlineStr">
        <is>
          <t>E04，第21页</t>
        </is>
      </c>
    </row>
    <row r="10" ht="50" customHeight="1">
      <c r="A10" s="2" t="inlineStr">
        <is>
          <t>永久补流金额</t>
        </is>
      </c>
      <c r="B10" s="6" t="n">
        <v>324274902.04</v>
      </c>
      <c r="C10" s="6" t="n"/>
      <c r="D10" s="6" t="n"/>
      <c r="E10" s="6" t="n"/>
      <c r="F10" s="2" t="inlineStr">
        <is>
          <t>E07，第64页；不据此虚构实际分项目支出</t>
        </is>
      </c>
    </row>
  </sheetData>
  <autoFilter ref="A1:F10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  <col width="100" customWidth="1" min="3" max="3"/>
  </cols>
  <sheetData>
    <row r="1" ht="32" customHeight="1">
      <c r="A1" s="1" t="inlineStr">
        <is>
          <t>事项</t>
        </is>
      </c>
      <c r="B1" s="1" t="inlineStr">
        <is>
          <t>本次处理</t>
        </is>
      </c>
      <c r="C1" s="1" t="inlineStr">
        <is>
          <t>仍需完成</t>
        </is>
      </c>
    </row>
    <row r="2" ht="67" customHeight="1">
      <c r="A2" s="2" t="inlineStr">
        <is>
          <t>文献全文</t>
        </is>
      </c>
      <c r="B2" s="2" t="inlineStr">
        <is>
          <t>L11b、L13从缺全文升级为逐项核读；L14替换L12</t>
        </is>
      </c>
      <c r="C2" s="2" t="inlineStr">
        <is>
          <t>报告统一版本与页码；无需再为L12找全文。</t>
        </is>
      </c>
    </row>
    <row r="3" ht="67" customHeight="1">
      <c r="A3" s="3" t="inlineStr">
        <is>
          <t>5条pilot</t>
        </is>
      </c>
      <c r="B3" s="3" t="inlineStr">
        <is>
          <t>保持原文、时间、证据索引及参考答案，不把后见信息写入证据</t>
        </is>
      </c>
      <c r="C3" s="3" t="inlineStr">
        <is>
          <t>下载公告原页、B/D双人复核与试标。</t>
        </is>
      </c>
    </row>
    <row r="4" ht="67" customHeight="1">
      <c r="A4" s="2" t="inlineStr">
        <is>
          <t>公司/模型</t>
        </is>
      </c>
      <c r="B4" s="2" t="inlineStr">
        <is>
          <t>给出8家候选与2模型具体配置建议</t>
        </is>
      </c>
      <c r="C4" s="2" t="inlineStr">
        <is>
          <t>依据可得性和API账号冻结；目前不是已确定样本。</t>
        </is>
      </c>
    </row>
    <row r="5" ht="67" customHeight="1">
      <c r="A5" s="3" t="inlineStr">
        <is>
          <t>费用/时间</t>
        </is>
      </c>
      <c r="B5" s="3" t="inlineStr">
        <is>
          <t>填情景公式并保留实测字段空白</t>
        </is>
      </c>
      <c r="C5" s="3" t="inlineStr">
        <is>
          <t>C交首批原始usage和账单，A/C交人工计时。</t>
        </is>
      </c>
    </row>
    <row r="6" ht="67" customHeight="1">
      <c r="A6" s="2" t="inlineStr">
        <is>
          <t>日程</t>
        </is>
      </c>
      <c r="B6" s="2" t="inlineStr">
        <is>
          <t>按19日仍收集材料调整</t>
        </is>
      </c>
      <c r="C6" s="2" t="inlineStr">
        <is>
          <t>20日晚验收pilot；如需减样本在观察正式结果前决定。</t>
        </is>
      </c>
    </row>
    <row r="7" ht="67" customHeight="1">
      <c r="A7" s="3" t="inlineStr">
        <is>
          <t>赛事要求</t>
        </is>
      </c>
      <c r="B7" s="3" t="inlineStr">
        <is>
          <t>现有方案所写时间/格式仍作工作假定</t>
        </is>
      </c>
      <c r="C7" s="3" t="inlineStr">
        <is>
          <t>用户提供比赛通知/评分标准原文，核实截止、字数、匿名和AI使用规定。</t>
        </is>
      </c>
    </row>
    <row r="8" ht="67" customHeight="1">
      <c r="A8" s="2" t="inlineStr">
        <is>
          <t>交付渠道</t>
        </is>
      </c>
      <c r="B8" s="2" t="inlineStr">
        <is>
          <t>整理Word、PDF、Excel、CSV、综述和BCD转发稿，并附打包文件、校验清单。</t>
        </is>
      </c>
      <c r="C8" s="2" t="inlineStr">
        <is>
          <t>通过GitHub分支deliverables目录获取文件；研究未完成项仍按对应工作表跟进。</t>
        </is>
      </c>
    </row>
  </sheetData>
  <autoFilter ref="A1:C8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40" customWidth="1" min="3" max="3"/>
    <col width="55" customWidth="1" min="4" max="4"/>
    <col width="55" customWidth="1" min="5" max="5"/>
    <col width="80" customWidth="1" min="6" max="6"/>
    <col width="95" customWidth="1" min="7" max="7"/>
    <col width="80" customWidth="1" min="8" max="8"/>
    <col width="70" customWidth="1" min="9" max="9"/>
    <col width="85" customWidth="1" min="10" max="10"/>
    <col width="95" customWidth="1" min="11" max="11"/>
    <col width="80" customWidth="1" min="12" max="12"/>
    <col width="70" customWidth="1" min="13" max="13"/>
    <col width="65" customWidth="1" min="14" max="14"/>
  </cols>
  <sheetData>
    <row r="1" ht="32" customHeight="1">
      <c r="A1" s="1" t="inlineStr">
        <is>
          <t>编号</t>
        </is>
      </c>
      <c r="B1" s="1" t="inlineStr">
        <is>
          <t>题名</t>
        </is>
      </c>
      <c r="C1" s="1" t="inlineStr">
        <is>
          <t>作者</t>
        </is>
      </c>
      <c r="D1" s="1" t="inlineStr">
        <is>
          <t>版本/出版信息</t>
        </is>
      </c>
      <c r="E1" s="1" t="inlineStr">
        <is>
          <t>阅读状态</t>
        </is>
      </c>
      <c r="F1" s="1" t="inlineStr">
        <is>
          <t>样本</t>
        </is>
      </c>
      <c r="G1" s="1" t="inlineStr">
        <is>
          <t>指标</t>
        </is>
      </c>
      <c r="H1" s="1" t="inlineStr">
        <is>
          <t>结论</t>
        </is>
      </c>
      <c r="I1" s="1" t="inlineStr">
        <is>
          <t>方法/识别</t>
        </is>
      </c>
      <c r="J1" s="1" t="inlineStr">
        <is>
          <t>核对页码</t>
        </is>
      </c>
      <c r="K1" s="1" t="inlineStr">
        <is>
          <t>局限</t>
        </is>
      </c>
      <c r="L1" s="1" t="inlineStr">
        <is>
          <t>报告中用途</t>
        </is>
      </c>
      <c r="M1" s="1" t="inlineStr">
        <is>
          <t>尚缺字段</t>
        </is>
      </c>
      <c r="N1" s="1" t="inlineStr">
        <is>
          <t>原始来源</t>
        </is>
      </c>
    </row>
    <row r="2" ht="67" customHeight="1">
      <c r="A2" s="2" t="inlineStr">
        <is>
          <t>L11a</t>
        </is>
      </c>
      <c r="B2" s="2" t="inlineStr">
        <is>
          <t>Do Answers to Retail Investor Questions Reduce Information Asymmetry among Investors? Evidence from Chinese Investor Interactive Platforms</t>
        </is>
      </c>
      <c r="C2" s="2" t="inlineStr">
        <is>
          <t>Zhenhua Chen; William J. Mayew; Wentao Ren; Pengcheng Zhu</t>
        </is>
      </c>
      <c r="D2" s="2" t="inlineStr">
        <is>
          <t>2022-11-19工作稿；47页PDF（封面无正文页码）</t>
        </is>
      </c>
      <c r="E2" s="2" t="inlineStr">
        <is>
          <t>历史记录；不作为当前核心引文。已由2025全文替代。</t>
        </is>
      </c>
      <c r="F2" s="2" t="inlineStr">
        <is>
          <t>非金融A股；深市2010-01起、沪市2013-07起，至2017-12；3,348家公司、3,735,572公司—交易日观测。</t>
        </is>
      </c>
      <c r="G2" s="2" t="inlineStr">
        <is>
          <t>SPREAD_Q：报价买卖价差/报价中点，日内均值；问/答数量和字数取ln(1+x)；回复时效按45.57小时中位数分组；直接性用中文BERT问答余弦相似度。</t>
        </is>
      </c>
      <c r="H2" s="2" t="inlineStr">
        <is>
          <t>控制提问活动后，回复与报价价差负相关；更及时、更直接的回复关联较强，回复边际作用仍小于提问。</t>
        </is>
      </c>
      <c r="I2" s="2" t="inlineStr">
        <is>
          <t>OLS；公司与日期固定效应。作者明确没有支持因果推断的外生冲击。</t>
        </is>
      </c>
      <c r="J2" s="2" t="inlineStr">
        <is>
          <t>样本p.16（PDF17）；指标pp.13–15、32（PDF14–16、33）；主结果pp.19–21、37–39；局限pp.6、24–28。</t>
        </is>
      </c>
      <c r="K2" s="2" t="inlineStr">
        <is>
          <t>低频高低价估算价差下，结果不一致；未测量回复成本，不能判断整体成本收益；不能外推为AI改善市场效率。</t>
        </is>
      </c>
      <c r="L2" s="2" t="inlineStr">
        <is>
          <t>为“有用回复”和生产成本研究提供背景；语义相似度不等同于事实正确率。</t>
        </is>
      </c>
      <c r="M2" s="2" t="inlineStr">
        <is>
          <t>2025修订稿样本/指标/页码不能从此版继承。</t>
        </is>
      </c>
      <c r="N2" s="4" t="inlineStr">
        <is>
          <t>https://www.cfrn.com.cn/uploads/fileupload/0801529a6f80445a9f00f037dbad7090/paper/795b512d87614c30aace40388cb634cc.pdf</t>
        </is>
      </c>
    </row>
    <row r="3" ht="67" customHeight="1">
      <c r="A3" s="3" t="inlineStr">
        <is>
          <t>L12</t>
        </is>
      </c>
      <c r="B3" s="3" t="inlineStr">
        <is>
          <t>Muddy the waters to conceal information? Evidence from firms’ inconsistent answers during Q&amp;As</t>
        </is>
      </c>
      <c r="C3" s="3" t="inlineStr">
        <is>
          <t>Lini Duan; Lingyi Li; Kyung-Hye Park; Di Wu</t>
        </is>
      </c>
      <c r="D3" s="3" t="inlineStr">
        <is>
          <t>Finance Research Letters, 51 (2023), 103415</t>
        </is>
      </c>
      <c r="E3" s="3" t="inlineStr">
        <is>
          <t>历史记录；不作为当前核心引文。全文无法取得，已换用L14。</t>
        </is>
      </c>
      <c r="F3" s="3" t="inlineStr">
        <is>
          <t>2014–2020年深交所上市公司；比较机构实地调研与散户线上问答；公司数、观测数未核实。</t>
        </is>
      </c>
      <c r="G3" s="3" t="inlineStr">
        <is>
          <t>回答差异AnswDiff、问题差异QuesDiff；结果涉及问询函、信息不对称与股价同步性；具体计算公式待核。</t>
        </is>
      </c>
      <c r="H3" s="3" t="inlineStr">
        <is>
          <t>作者报告：面对不同投资者的回答差异较大，与更多监管问询及较高信息不对称有关，并涉及股价同步性。</t>
        </is>
      </c>
      <c r="I3" s="3" t="inlineStr">
        <is>
          <t>回归设计细节、匹配单位、识别策略与稳健性需全文复核。</t>
        </is>
      </c>
      <c r="J3" s="3" t="inlineStr">
        <is>
          <t>103415是文章编号，不是页码；数据段/结果段仅网页定位，PDF具体页码待核。</t>
        </is>
      </c>
      <c r="K3" s="3" t="inlineStr">
        <is>
          <t>措辞差异不是自动判定虚假或违法的依据；未核对全文前不援引具体系数。</t>
        </is>
      </c>
      <c r="L3" s="3" t="inlineStr">
        <is>
          <t>公司回复应作为参考材料，答案标准仍应独立核对公告；保留平台与活动类型字段。</t>
        </is>
      </c>
      <c r="M3" s="3" t="inlineStr">
        <is>
          <t>样本数量、差异指标构造、回归表、完整识别限制、具体页码。</t>
        </is>
      </c>
      <c r="N3" s="5" t="inlineStr">
        <is>
          <t>https://doi.org/10.1016/j.frl.2022.103415</t>
        </is>
      </c>
    </row>
  </sheetData>
  <autoFilter ref="A1:N3"/>
  <hyperlinks>
    <hyperlink xmlns:r="http://schemas.openxmlformats.org/officeDocument/2006/relationships" ref="N2" r:id="rId1"/>
    <hyperlink xmlns:r="http://schemas.openxmlformats.org/officeDocument/2006/relationships" ref="N3" r:id="rId2"/>
  </hyperlink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60" customWidth="1" min="2" max="2"/>
    <col width="80" customWidth="1" min="3" max="3"/>
    <col width="80" customWidth="1" min="4" max="4"/>
  </cols>
  <sheetData>
    <row r="1" ht="32" customHeight="1">
      <c r="A1" s="1" t="inlineStr">
        <is>
          <t>事项</t>
        </is>
      </c>
      <c r="B1" s="1" t="inlineStr">
        <is>
          <t>旧状态/常见误读</t>
        </is>
      </c>
      <c r="C1" s="1" t="inlineStr">
        <is>
          <t>本次核对结论</t>
        </is>
      </c>
      <c r="D1" s="1" t="inlineStr">
        <is>
          <t>对报告的处理</t>
        </is>
      </c>
    </row>
    <row r="2" ht="67" customHeight="1">
      <c r="A2" s="2" t="inlineStr">
        <is>
          <t>L11版本</t>
        </is>
      </c>
      <c r="B2" s="2" t="inlineStr">
        <is>
          <t>把2022样本和相似度指标写到2025稿下</t>
        </is>
      </c>
      <c r="C2" s="2" t="inlineStr">
        <is>
          <t>2025延至2022-06，7,818,963观测；人工标注训练BERT分类</t>
        </is>
      </c>
      <c r="D2" s="2" t="inlineStr">
        <is>
          <t>主引2025稿；2022仅留版本档案。</t>
        </is>
      </c>
    </row>
    <row r="3" ht="67" customHeight="1">
      <c r="A3" s="3" t="inlineStr">
        <is>
          <t>分类准确率</t>
        </is>
      </c>
      <c r="B3" s="3" t="inlineStr">
        <is>
          <t>94.30%与92.00%混用</t>
        </is>
      </c>
      <c r="C3" s="3" t="inlineStr">
        <is>
          <t>94.30%是帖子提问/评论；92.00%是回复质量</t>
        </is>
      </c>
      <c r="D3" s="3" t="inlineStr">
        <is>
          <t>都不能当AI生成回复准确率。</t>
        </is>
      </c>
    </row>
    <row r="4" ht="67" customHeight="1">
      <c r="A4" s="2" t="inlineStr">
        <is>
          <t>低质量率</t>
        </is>
      </c>
      <c r="B4" s="2" t="inlineStr">
        <is>
          <t>把19.6%说成幻觉率</t>
        </is>
      </c>
      <c r="C4" s="2" t="inlineStr">
        <is>
          <t>它是问题回复中非回答的分类占比</t>
        </is>
      </c>
      <c r="D4" s="2" t="inlineStr">
        <is>
          <t>只用于介绍既有质量代理变量。</t>
        </is>
      </c>
    </row>
    <row r="5" ht="67" customHeight="1">
      <c r="A5" s="3" t="inlineStr">
        <is>
          <t>时效</t>
        </is>
      </c>
      <c r="B5" s="3" t="inlineStr">
        <is>
          <t>回复越快总是越好</t>
        </is>
      </c>
      <c r="C5" s="3" t="inlineStr">
        <is>
          <t>2025稿近期样本的时效差异不显著</t>
        </is>
      </c>
      <c r="D5" s="3" t="inlineStr">
        <is>
          <t>本研究实测耗时，不预设时效必然提高信息价值。</t>
        </is>
      </c>
    </row>
    <row r="6" ht="67" customHeight="1">
      <c r="A6" s="2" t="inlineStr">
        <is>
          <t>监督帖与样本量</t>
        </is>
      </c>
      <c r="B6" s="2" t="inlineStr">
        <is>
          <t>310,572当公司年样本数</t>
        </is>
      </c>
      <c r="C6" s="2" t="inlineStr">
        <is>
          <t>310,572监督帖；25,996公司年观测</t>
        </is>
      </c>
      <c r="D6" s="2" t="inlineStr">
        <is>
          <t>分开存文本层与回归层样本单位。</t>
        </is>
      </c>
    </row>
    <row r="7" ht="67" customHeight="1">
      <c r="A7" s="3" t="inlineStr">
        <is>
          <t>REM符号</t>
        </is>
      </c>
      <c r="B7" s="3" t="inlineStr">
        <is>
          <t>用通行公式替作者改写基准指标</t>
        </is>
      </c>
      <c r="C7" s="3" t="inlineStr">
        <is>
          <t>原文基准与稳健性公式不同</t>
        </is>
      </c>
      <c r="D7" s="3" t="inlineStr">
        <is>
          <t>按原页分别摘记；不直接复制进我们的评分。</t>
        </is>
      </c>
    </row>
    <row r="8" ht="67" customHeight="1">
      <c r="A8" s="2" t="inlineStr">
        <is>
          <t>显著性</t>
        </is>
      </c>
      <c r="B8" s="2" t="inlineStr">
        <is>
          <t>凭某组显著、另组不显著得出组间差异</t>
        </is>
      </c>
      <c r="C8" s="2" t="inlineStr">
        <is>
          <t>须有差异检验，不能仅看星号</t>
        </is>
      </c>
      <c r="D8" s="2" t="inlineStr">
        <is>
          <t>描述为作者分组结果，避免过强结论。</t>
        </is>
      </c>
    </row>
    <row r="9" ht="67" customHeight="1">
      <c r="A9" s="3" t="inlineStr">
        <is>
          <t>研究创新</t>
        </is>
      </c>
      <c r="B9" s="3" t="inlineStr">
        <is>
          <t>首次将大模型用于投资者互动</t>
        </is>
      </c>
      <c r="C9" s="3" t="inlineStr">
        <is>
          <t>L13已用LLM识别监督帖子</t>
        </is>
      </c>
      <c r="D9" s="3" t="inlineStr">
        <is>
          <t>主张生产流程和合格产出成本的研究组合。</t>
        </is>
      </c>
    </row>
    <row r="10" ht="67" customHeight="1">
      <c r="A10" s="2" t="inlineStr">
        <is>
          <t>回答边界</t>
        </is>
      </c>
      <c r="B10" s="2" t="inlineStr">
        <is>
          <t>所有拒答都低质量</t>
        </is>
      </c>
      <c r="C10" s="2" t="inlineStr">
        <is>
          <t>充分证据仍不答与合理限制需分开</t>
        </is>
      </c>
      <c r="D10" s="2" t="inlineStr">
        <is>
          <t>可答部分应回答；不可证实部分标明依据缺口。</t>
        </is>
      </c>
    </row>
    <row r="11" ht="67" customHeight="1">
      <c r="A11" s="3" t="inlineStr">
        <is>
          <t>社会含义</t>
        </is>
      </c>
      <c r="B11" s="3" t="inlineStr">
        <is>
          <t>本实验能证明信息公平/股价风险变化</t>
        </is>
      </c>
      <c r="C11" s="3" t="inlineStr">
        <is>
          <t>本实验测的是回复质量与成本</t>
        </is>
      </c>
      <c r="D11" s="3" t="inlineStr">
        <is>
          <t>把市场层面含义写成机制讨论和后续研究。</t>
        </is>
      </c>
    </row>
  </sheetData>
  <autoFilter ref="A1:D1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65" customWidth="1" min="4" max="4"/>
    <col width="65" customWidth="1" min="5" max="5"/>
    <col width="20" customWidth="1" min="6" max="6"/>
    <col width="20" customWidth="1" min="7" max="7"/>
    <col width="20" customWidth="1" min="8" max="8"/>
    <col width="23" customWidth="1" min="9" max="9"/>
  </cols>
  <sheetData>
    <row r="1" ht="32" customHeight="1">
      <c r="A1" s="1" t="inlineStr">
        <is>
          <t>代码</t>
        </is>
      </c>
      <c r="B1" s="1" t="inlineStr">
        <is>
          <t>公司</t>
        </is>
      </c>
      <c r="C1" s="1" t="inlineStr">
        <is>
          <t>业务分组（未冻结行业代码）</t>
        </is>
      </c>
      <c r="D1" s="1" t="inlineStr">
        <is>
          <t>可得性线索</t>
        </is>
      </c>
      <c r="E1" s="1" t="inlineStr">
        <is>
          <t>冻结前核查</t>
        </is>
      </c>
      <c r="F1" s="1" t="inlineStr">
        <is>
          <t>A直接事实</t>
        </is>
      </c>
      <c r="G1" s="1" t="inlineStr">
        <is>
          <t>B综合解释</t>
        </is>
      </c>
      <c r="H1" s="1" t="inlineStr">
        <is>
          <t>C部分可答</t>
        </is>
      </c>
      <c r="I1" s="1" t="inlineStr">
        <is>
          <t>D资料不足或限制</t>
        </is>
      </c>
    </row>
    <row r="2" ht="67" customHeight="1">
      <c r="A2" s="2" t="inlineStr">
        <is>
          <t>300686</t>
        </is>
      </c>
      <c r="B2" s="2" t="inlineStr">
        <is>
          <t>智动力</t>
        </is>
      </c>
      <c r="C2" s="2" t="inlineStr">
        <is>
          <t>消费电子候选；C39待统一口径确认</t>
        </is>
      </c>
      <c r="D2" s="2" t="inlineStr">
        <is>
          <t>已有5条pilot及公告页码</t>
        </is>
      </c>
      <c r="E2" s="2" t="inlineStr">
        <is>
          <t>候选未冻结；pilot题不可复用</t>
        </is>
      </c>
      <c r="F2" s="2" t="n">
        <v>3</v>
      </c>
      <c r="G2" s="2" t="n">
        <v>2</v>
      </c>
      <c r="H2" s="2" t="n">
        <v>3</v>
      </c>
      <c r="I2" s="2" t="n">
        <v>2</v>
      </c>
    </row>
    <row r="3" ht="67" customHeight="1">
      <c r="A3" s="3" t="inlineStr">
        <is>
          <t>002475</t>
        </is>
      </c>
      <c r="B3" s="3" t="inlineStr">
        <is>
          <t>立讯精密</t>
        </is>
      </c>
      <c r="C3" s="3" t="inlineStr">
        <is>
          <t>消费电子候选；C39待统一口径确认</t>
        </is>
      </c>
      <c r="D3" s="3" t="inlineStr">
        <is>
          <t>官网和巨潮可查2025年报</t>
        </is>
      </c>
      <c r="E3" s="3" t="inlineStr">
        <is>
          <t>需验证至少10条可追溯正式题</t>
        </is>
      </c>
      <c r="F3" s="3" t="n">
        <v>2</v>
      </c>
      <c r="G3" s="3" t="n">
        <v>3</v>
      </c>
      <c r="H3" s="3" t="n">
        <v>2</v>
      </c>
      <c r="I3" s="3" t="n">
        <v>3</v>
      </c>
    </row>
    <row r="4" ht="67" customHeight="1">
      <c r="A4" s="2" t="inlineStr">
        <is>
          <t>002241</t>
        </is>
      </c>
      <c r="B4" s="2" t="inlineStr">
        <is>
          <t>歌尔股份</t>
        </is>
      </c>
      <c r="C4" s="2" t="inlineStr">
        <is>
          <t>消费电子候选；C39待统一口径确认</t>
        </is>
      </c>
      <c r="D4" s="2" t="inlineStr">
        <is>
          <t>优先检索互动易及巨潮年报</t>
        </is>
      </c>
      <c r="E4" s="2" t="inlineStr">
        <is>
          <t>可得性待核</t>
        </is>
      </c>
      <c r="F4" s="2" t="n">
        <v>3</v>
      </c>
      <c r="G4" s="2" t="n">
        <v>2</v>
      </c>
      <c r="H4" s="2" t="n">
        <v>3</v>
      </c>
      <c r="I4" s="2" t="n">
        <v>2</v>
      </c>
    </row>
    <row r="5" ht="67" customHeight="1">
      <c r="A5" s="3" t="inlineStr">
        <is>
          <t>300433</t>
        </is>
      </c>
      <c r="B5" s="3" t="inlineStr">
        <is>
          <t>蓝思科技</t>
        </is>
      </c>
      <c r="C5" s="3" t="inlineStr">
        <is>
          <t>消费电子候选；C39待统一口径确认</t>
        </is>
      </c>
      <c r="D5" s="3" t="inlineStr">
        <is>
          <t>优先检索互动易及巨潮年报</t>
        </is>
      </c>
      <c r="E5" s="3" t="inlineStr">
        <is>
          <t>可得性待核</t>
        </is>
      </c>
      <c r="F5" s="3" t="n">
        <v>2</v>
      </c>
      <c r="G5" s="3" t="n">
        <v>3</v>
      </c>
      <c r="H5" s="3" t="n">
        <v>2</v>
      </c>
      <c r="I5" s="3" t="n">
        <v>3</v>
      </c>
    </row>
    <row r="6" ht="67" customHeight="1">
      <c r="A6" s="2" t="inlineStr">
        <is>
          <t>000333</t>
        </is>
      </c>
      <c r="B6" s="2" t="inlineStr">
        <is>
          <t>美的集团</t>
        </is>
      </c>
      <c r="C6" s="2" t="inlineStr">
        <is>
          <t>家电候选；C38待统一口径确认</t>
        </is>
      </c>
      <c r="D6" s="2" t="inlineStr">
        <is>
          <t>优先检索互动易及巨潮年报</t>
        </is>
      </c>
      <c r="E6" s="2" t="inlineStr">
        <is>
          <t>可得性待核</t>
        </is>
      </c>
      <c r="F6" s="2" t="n">
        <v>3</v>
      </c>
      <c r="G6" s="2" t="n">
        <v>2</v>
      </c>
      <c r="H6" s="2" t="n">
        <v>3</v>
      </c>
      <c r="I6" s="2" t="n">
        <v>2</v>
      </c>
    </row>
    <row r="7" ht="67" customHeight="1">
      <c r="A7" s="3" t="inlineStr">
        <is>
          <t>000651</t>
        </is>
      </c>
      <c r="B7" s="3" t="inlineStr">
        <is>
          <t>格力电器</t>
        </is>
      </c>
      <c r="C7" s="3" t="inlineStr">
        <is>
          <t>家电候选；C38待统一口径确认</t>
        </is>
      </c>
      <c r="D7" s="3" t="inlineStr">
        <is>
          <t>优先检索互动易及巨潮年报</t>
        </is>
      </c>
      <c r="E7" s="3" t="inlineStr">
        <is>
          <t>可得性待核</t>
        </is>
      </c>
      <c r="F7" s="3" t="n">
        <v>2</v>
      </c>
      <c r="G7" s="3" t="n">
        <v>3</v>
      </c>
      <c r="H7" s="3" t="n">
        <v>2</v>
      </c>
      <c r="I7" s="3" t="n">
        <v>3</v>
      </c>
    </row>
    <row r="8" ht="67" customHeight="1">
      <c r="A8" s="2" t="inlineStr">
        <is>
          <t>002508</t>
        </is>
      </c>
      <c r="B8" s="2" t="inlineStr">
        <is>
          <t>老板电器</t>
        </is>
      </c>
      <c r="C8" s="2" t="inlineStr">
        <is>
          <t>家电候选；C38待统一口径确认</t>
        </is>
      </c>
      <c r="D8" s="2" t="inlineStr">
        <is>
          <t>2025年报摘要已定位</t>
        </is>
      </c>
      <c r="E8" s="2" t="inlineStr">
        <is>
          <t>需核原件及问题来源</t>
        </is>
      </c>
      <c r="F8" s="2" t="n">
        <v>3</v>
      </c>
      <c r="G8" s="2" t="n">
        <v>2</v>
      </c>
      <c r="H8" s="2" t="n">
        <v>3</v>
      </c>
      <c r="I8" s="2" t="n">
        <v>2</v>
      </c>
    </row>
    <row r="9" ht="67" customHeight="1">
      <c r="A9" s="3" t="inlineStr">
        <is>
          <t>002032</t>
        </is>
      </c>
      <c r="B9" s="3" t="inlineStr">
        <is>
          <t>苏泊尔</t>
        </is>
      </c>
      <c r="C9" s="3" t="inlineStr">
        <is>
          <t>家电候选；C38待统一口径确认</t>
        </is>
      </c>
      <c r="D9" s="3" t="inlineStr">
        <is>
          <t>官网年报入口已定位</t>
        </is>
      </c>
      <c r="E9" s="3" t="inlineStr">
        <is>
          <t>需核问题来源</t>
        </is>
      </c>
      <c r="F9" s="3" t="n">
        <v>2</v>
      </c>
      <c r="G9" s="3" t="n">
        <v>3</v>
      </c>
      <c r="H9" s="3" t="n">
        <v>2</v>
      </c>
      <c r="I9" s="3" t="n">
        <v>3</v>
      </c>
    </row>
  </sheetData>
  <autoFilter ref="A1:I9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15" customWidth="1" min="2" max="2"/>
    <col width="100" customWidth="1" min="3" max="3"/>
  </cols>
  <sheetData>
    <row r="1" ht="32" customHeight="1">
      <c r="A1" s="1" t="inlineStr">
        <is>
          <t>阶段/负责人</t>
        </is>
      </c>
      <c r="B1" s="1" t="inlineStr">
        <is>
          <t>具体要求</t>
        </is>
      </c>
      <c r="C1" s="1" t="inlineStr">
        <is>
          <t>验收</t>
        </is>
      </c>
    </row>
    <row r="2" ht="67" customHeight="1">
      <c r="A2" s="2" t="inlineStr">
        <is>
          <t>样本窗口建议</t>
        </is>
      </c>
      <c r="B2" s="2" t="inlineStr">
        <is>
          <t>正式题暂选2026-05-01至2026-09-30；每题仅用提问前已披露文件。信息截止日不等于报告期结束日。</t>
        </is>
      </c>
      <c r="C2" s="2" t="inlineStr">
        <is>
          <t>先测试可得性，20日冻结窗口；不足则在观察模型结果前统一调整并留痕。</t>
        </is>
      </c>
    </row>
    <row r="3" ht="67" customHeight="1">
      <c r="A3" s="3" t="inlineStr">
        <is>
          <t>公司选择</t>
        </is>
      </c>
      <c r="B3" s="3" t="inlineStr">
        <is>
          <t>8家均拟从深市选择；消费电子和家电各4。以同一行业分类标准复核，记录选择理由、可得性与排除记录。</t>
        </is>
      </c>
      <c r="C3" s="3" t="inlineStr">
        <is>
          <t>这是按证据可得性组织的小样本，不声称市场代表性。</t>
        </is>
      </c>
    </row>
    <row r="4" ht="67" customHeight="1">
      <c r="A4" s="2" t="inlineStr">
        <is>
          <t>正式题配额</t>
        </is>
      </c>
      <c r="B4" s="2" t="inlineStr">
        <is>
          <t>每公司10题；候选池表四类合计各20题、两业务组各40题。</t>
        </is>
      </c>
      <c r="C4" s="2" t="inlineStr">
        <is>
          <t>配额是目标；不得改写真实问题或强改标签来凑数。</t>
        </is>
      </c>
    </row>
    <row r="5" ht="67" customHeight="1">
      <c r="A5" s="3" t="inlineStr">
        <is>
          <t>来源类型</t>
        </is>
      </c>
      <c r="B5" s="3" t="inlineStr">
        <is>
          <t>pilot可含业绩说明会；正式优先普通日常互动易；若混用须预先规定比例并保留子类型。</t>
        </is>
      </c>
      <c r="C5" s="3" t="inlineStr">
        <is>
          <t>提问原文、精确时点、URL/稳定ID；不能把新闻转述冒充原问题。</t>
        </is>
      </c>
    </row>
    <row r="6" ht="67" customHeight="1">
      <c r="A6" s="2" t="inlineStr">
        <is>
          <t>A现有pilot5题</t>
        </is>
      </c>
      <c r="B6" s="2" t="inlineStr">
        <is>
          <t>A类1，B类3，C类1，D类0；已公开答案。</t>
        </is>
      </c>
      <c r="C6" s="2" t="inlineStr">
        <is>
          <t>不进入正式80题及人工24题。</t>
        </is>
      </c>
    </row>
    <row r="7" ht="67" customHeight="1">
      <c r="A7" s="3" t="inlineStr">
        <is>
          <t>剩余pilot15题</t>
        </is>
      </c>
      <c r="B7" s="3" t="inlineStr">
        <is>
          <t>目标补A4、B2、C4、D5；优先其他公司和家电，不人为改标签。</t>
        </is>
      </c>
      <c r="C7" s="3" t="inlineStr">
        <is>
          <t>四类总体约5题；如真实样本分布不符则如实记录。</t>
        </is>
      </c>
    </row>
    <row r="8" ht="67" customHeight="1">
      <c r="A8" s="2" t="inlineStr">
        <is>
          <t>B建议找5题</t>
        </is>
      </c>
      <c r="B8" s="2" t="inlineStr">
        <is>
          <t>A2、C1、D2；负责所有证据原页和时间核查。</t>
        </is>
      </c>
      <c r="C8" s="2" t="inlineStr">
        <is>
          <t>每题至少1个可追溯证据包或明确记录检索边界。</t>
        </is>
      </c>
    </row>
    <row r="9" ht="67" customHeight="1">
      <c r="A9" s="3" t="inlineStr">
        <is>
          <t>C建议找5题</t>
        </is>
      </c>
      <c r="B9" s="3" t="inlineStr">
        <is>
          <t>A1、B1、C1、D2；同时验证模型/usage/账单。</t>
        </is>
      </c>
      <c r="C9" s="3" t="inlineStr">
        <is>
          <t>先以1题×4条件做技术连通测试，计入pilot。</t>
        </is>
      </c>
    </row>
    <row r="10" ht="67" customHeight="1">
      <c r="A10" s="2" t="inlineStr">
        <is>
          <t>D建议找5题</t>
        </is>
      </c>
      <c r="B10" s="2" t="inlineStr">
        <is>
          <t>A1、B1、C2、D1；重点设计合理边界与过度拒答例子。</t>
        </is>
      </c>
      <c r="C10" s="2" t="inlineStr">
        <is>
          <t>和B独立试标后修订评分标准，保留分歧。</t>
        </is>
      </c>
    </row>
    <row r="11" ht="67" customHeight="1">
      <c r="A11" s="3" t="inlineStr">
        <is>
          <t>A统筹职责</t>
        </is>
      </c>
      <c r="B11" s="3" t="inlineStr">
        <is>
          <t>冻结主问题、文献综述、案例与报告结构；参与人工对照；每日验收交付物。</t>
        </is>
      </c>
      <c r="C11" s="3" t="inlineStr">
        <is>
          <t>评判证据与结论的对应关系，不提前接触正式人工题答案。</t>
        </is>
      </c>
    </row>
    <row r="12" ht="67" customHeight="1">
      <c r="A12" s="2" t="inlineStr">
        <is>
          <t>正式人工对照</t>
        </is>
      </c>
      <c r="B12" s="2" t="inlineStr">
        <is>
          <t>24题×纯人工/AI辅助=48任务；A/C交叉，每题不同人不同条件，各承担24任务。</t>
        </is>
      </c>
      <c r="C12" s="2" t="inlineStr">
        <is>
          <t>AI辅助模型/流程在pilot后选定；可复用正式实验草稿；不能按正式结果事后挑最优模型。</t>
        </is>
      </c>
    </row>
  </sheetData>
  <autoFilter ref="A1:C12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75" customWidth="1" min="3" max="3"/>
    <col width="70" customWidth="1" min="4" max="4"/>
    <col width="24" customWidth="1" min="5" max="5"/>
    <col width="24" customWidth="1" min="6" max="6"/>
    <col width="20" customWidth="1" min="7" max="7"/>
    <col width="26" customWidth="1" min="8" max="8"/>
    <col width="26" customWidth="1" min="9" max="9"/>
    <col width="24" customWidth="1" min="10" max="10"/>
    <col width="75" customWidth="1" min="11" max="11"/>
  </cols>
  <sheetData>
    <row r="1" ht="32" customHeight="1">
      <c r="A1" s="1" t="inlineStr">
        <is>
          <t>模型</t>
        </is>
      </c>
      <c r="B1" s="1" t="inlineStr">
        <is>
          <t>建议调用ID</t>
        </is>
      </c>
      <c r="C1" s="1" t="inlineStr">
        <is>
          <t>版本记录</t>
        </is>
      </c>
      <c r="D1" s="1" t="inlineStr">
        <is>
          <t>计价口径</t>
        </is>
      </c>
      <c r="E1" s="1" t="inlineStr">
        <is>
          <t>输入元_百万Token</t>
        </is>
      </c>
      <c r="F1" s="1" t="inlineStr">
        <is>
          <t>输出元_百万Token</t>
        </is>
      </c>
      <c r="G1" s="1" t="inlineStr">
        <is>
          <t>计划调用数</t>
        </is>
      </c>
      <c r="H1" s="1" t="inlineStr">
        <is>
          <t>均输入Token_假设</t>
        </is>
      </c>
      <c r="I1" s="1" t="inlineStr">
        <is>
          <t>均输出Token_假设</t>
        </is>
      </c>
      <c r="J1" s="1" t="inlineStr">
        <is>
          <t>API元_测算</t>
        </is>
      </c>
      <c r="K1" s="1" t="inlineStr">
        <is>
          <t>官方来源</t>
        </is>
      </c>
    </row>
    <row r="2" ht="67" customHeight="1">
      <c r="A2" s="2" t="inlineStr">
        <is>
          <t>DeepSeek Flash</t>
        </is>
      </c>
      <c r="B2" s="2" t="inlineStr">
        <is>
          <t>deepseek-flash</t>
        </is>
      </c>
      <c r="C2" s="2" t="inlineStr">
        <is>
          <t>DeepSeek-V4.1-Flash-1017（网页当前映射；不是保证可锁定的调用ID）</t>
        </is>
      </c>
      <c r="D2" s="2" t="inlineStr">
        <is>
          <t>官网直连；未命中缓存；高峰保守测算</t>
        </is>
      </c>
      <c r="E2" s="2" t="n">
        <v>2</v>
      </c>
      <c r="F2" s="2" t="n">
        <v>8</v>
      </c>
      <c r="G2" s="2" t="n">
        <v>200</v>
      </c>
      <c r="H2" s="2" t="n">
        <v>6000</v>
      </c>
      <c r="I2" s="2" t="n">
        <v>1000</v>
      </c>
      <c r="J2" s="10">
        <f>G2*(H2*E2+I2*F2)/1000000</f>
        <v/>
      </c>
      <c r="K2" s="4" t="inlineStr">
        <is>
          <t>https://api-docs.deepseek.com/zh-cn/quick_start/pricing/</t>
        </is>
      </c>
    </row>
    <row r="3" ht="67" customHeight="1">
      <c r="A3" s="3" t="inlineStr">
        <is>
          <t>豆包Seed 2.1 Pro</t>
        </is>
      </c>
      <c r="B3" s="3" t="inlineStr">
        <is>
          <t>doubao-seed-2-1-pro-260915</t>
        </is>
      </c>
      <c r="C3" s="3" t="inlineStr">
        <is>
          <t>带日期模型ID；C需确认账号可用</t>
        </is>
      </c>
      <c r="D3" s="3" t="inlineStr">
        <is>
          <t>火山方舟常规在线；非音频；不启用显式缓存</t>
        </is>
      </c>
      <c r="E3" s="3" t="n">
        <v>6</v>
      </c>
      <c r="F3" s="3" t="n">
        <v>30</v>
      </c>
      <c r="G3" s="3" t="n">
        <v>200</v>
      </c>
      <c r="H3" s="3" t="n">
        <v>6000</v>
      </c>
      <c r="I3" s="3" t="n">
        <v>1000</v>
      </c>
      <c r="J3" s="11">
        <f>G3*(H3*E3+I3*F3)/1000000</f>
        <v/>
      </c>
      <c r="K3" s="5" t="inlineStr">
        <is>
          <t>https://console.volcengine.com/ark/region%3Acn-beijing/docs/model-pricing</t>
        </is>
      </c>
    </row>
    <row r="4">
      <c r="A4" t="inlineStr">
        <is>
          <t>合计：80次pilot+320次正式</t>
        </is>
      </c>
      <c r="J4">
        <f>SUM(J2:J3)</f>
        <v/>
      </c>
      <c r="K4" t="inlineStr">
        <is>
          <t>仅情景值，非实际账单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15" customWidth="1" min="2" max="2"/>
    <col width="110" customWidth="1" min="3" max="3"/>
  </cols>
  <sheetData>
    <row r="1" ht="32" customHeight="1">
      <c r="A1" s="1" t="inlineStr">
        <is>
          <t>项目</t>
        </is>
      </c>
      <c r="B1" s="1" t="inlineStr">
        <is>
          <t>设定/公式</t>
        </is>
      </c>
      <c r="C1" s="1" t="inlineStr">
        <is>
          <t>说明</t>
        </is>
      </c>
    </row>
    <row r="2" ht="67" customHeight="1">
      <c r="A2" s="2" t="inlineStr">
        <is>
          <t>总上限</t>
        </is>
      </c>
      <c r="B2" s="2" t="inlineStr">
        <is>
          <t>100元</t>
        </is>
      </c>
      <c r="C2" s="2" t="inlineStr">
        <is>
          <t>预实验10；正式60；技术失败重试20；保留10。是支出限额而非需要花满。</t>
        </is>
      </c>
    </row>
    <row r="3" ht="67" customHeight="1">
      <c r="A3" s="3" t="inlineStr">
        <is>
          <t>基础测算</t>
        </is>
      </c>
      <c r="B3" s="3" t="inlineStr">
        <is>
          <t>200×(6000×2+1000×8)/1e6 + 200×(6000×6+1000×30)/1e6 = 17.20元</t>
        </is>
      </c>
      <c r="C3" s="3" t="inlineStr">
        <is>
          <t>按官网2026-10-19所见价格，均按无缓存，DeepSeek取高峰；未计其他服务。</t>
        </is>
      </c>
    </row>
    <row r="4" ht="67" customHeight="1">
      <c r="A4" s="2" t="inlineStr">
        <is>
          <t>较长输入输出情景</t>
        </is>
      </c>
      <c r="B4" s="2" t="inlineStr">
        <is>
          <t>每次10000输入、2000输出：31.20元；另加30%调用冗余：40.56元</t>
        </is>
      </c>
      <c r="C4" s="2" t="inlineStr">
        <is>
          <t>纯测算；不是保证报价，也不是默认允许重抽答案。</t>
        </is>
      </c>
    </row>
    <row r="5" ht="67" customHeight="1">
      <c r="A5" s="3" t="inlineStr">
        <is>
          <t>深度思考</t>
        </is>
      </c>
      <c r="B5" s="3" t="inlineStr">
        <is>
          <t>两模型均建议显式关闭内置深度思考；边界流程输出简短证据核对清单</t>
        </is>
      </c>
      <c r="C5" s="3" t="inlineStr">
        <is>
          <t>若开启，reasoning用量可能计入输出，须依usage定义计费并避免重复相加。</t>
        </is>
      </c>
    </row>
    <row r="6" ht="67" customHeight="1">
      <c r="A6" s="2" t="inlineStr">
        <is>
          <t>版本与服务</t>
        </is>
      </c>
      <c r="B6" s="2" t="inlineStr">
        <is>
          <t>记录provider、requested_model、returned_model、service_version、UTC/BJT时间、参数、价表快照</t>
        </is>
      </c>
      <c r="C6" s="2" t="inlineStr">
        <is>
          <t>DeepSeek别名可能改映射；若无法锁定，集中同批运行，变更时暂停并说明复现限制。</t>
        </is>
      </c>
    </row>
    <row r="7" ht="67" customHeight="1">
      <c r="A7" s="3" t="inlineStr">
        <is>
          <t>价格控制</t>
        </is>
      </c>
      <c r="B7" s="3" t="inlineStr">
        <is>
          <t>记录命中/未命中Token和调用完成时段；保存账单，另按统一参考价重算</t>
        </is>
      </c>
      <c r="C7" s="3" t="inlineStr">
        <is>
          <t>避免缓存与高峰/空闲时段差异被误认为流程效果。</t>
        </is>
      </c>
    </row>
    <row r="8" ht="67" customHeight="1">
      <c r="A8" s="2" t="inlineStr">
        <is>
          <t>调用顺序</t>
        </is>
      </c>
      <c r="B8" s="2" t="inlineStr">
        <is>
          <t>按题随机排列四条件；同题完全相同证据文本；两流程同样约束和回答篇幅</t>
        </is>
      </c>
      <c r="C8" s="2" t="inlineStr">
        <is>
          <t>建议最终回复300—500字，边界清单≤150字；max_tokens先2000试跑，不能仅某组提高。</t>
        </is>
      </c>
    </row>
    <row r="9" ht="67" customHeight="1">
      <c r="A9" s="3" t="inlineStr">
        <is>
          <t>技术失败</t>
        </is>
      </c>
      <c r="B9" s="3" t="inlineStr">
        <is>
          <t>每请求最多2次额外技术重试，保存原始失败记录；技术费单列</t>
        </is>
      </c>
      <c r="C9" s="3" t="inlineStr">
        <is>
          <t>内容不合格不重新生成；保留首次完成输出。无法产生输出的失败计入尝试量。</t>
        </is>
      </c>
    </row>
    <row r="10" ht="67" customHeight="1">
      <c r="A10" s="2" t="inlineStr">
        <is>
          <t>限额执行</t>
        </is>
      </c>
      <c r="B10" s="2" t="inlineStr">
        <is>
          <t>C每批结束核对累计账单＋在途预留；达到90元停止新增任务</t>
        </is>
      </c>
      <c r="C10" s="2" t="inlineStr">
        <is>
          <t>100元不能只用本地Token估算当硬保证；设置平台额度/余额控制。</t>
        </is>
      </c>
    </row>
    <row r="11" ht="67" customHeight="1">
      <c r="A11" s="3" t="inlineStr">
        <is>
          <t>模型密钥</t>
        </is>
      </c>
      <c r="B11" s="3" t="inlineStr">
        <is>
          <t>只由C在本地环境变量/平台控制台配置；当前未配置、未调用</t>
        </is>
      </c>
      <c r="C11" s="3" t="inlineStr">
        <is>
          <t>不需要把密钥发到聊天。</t>
        </is>
      </c>
    </row>
    <row r="12" ht="67" customHeight="1">
      <c r="A12" s="2" t="inlineStr">
        <is>
          <t>成本主口径</t>
        </is>
      </c>
      <c r="B12" s="2" t="inlineStr">
        <is>
          <t>每条合格草稿成本=该条件全部API费/合格草稿数；合格数为0记NA并报告失败</t>
        </is>
      </c>
      <c r="C12" s="2" t="inlineStr">
        <is>
          <t>资料整理、人工复核和部署成本另列，再计算交付成本，不混用草稿/最终回复分母。</t>
        </is>
      </c>
    </row>
    <row r="13" ht="67" customHeight="1">
      <c r="A13" s="3" t="inlineStr">
        <is>
          <t>交付成本</t>
        </is>
      </c>
      <c r="B13" s="3" t="inlineStr">
        <is>
          <t>(API+分摊资料准备+核验修改+部署摊销)/人工审核后的合格回复数</t>
        </is>
      </c>
      <c r="C13" s="3" t="inlineStr">
        <is>
          <t>只在人工子样本上估计；同一资料包跨条件共享时明确分摊或另列，勿重复算4份。</t>
        </is>
      </c>
    </row>
    <row r="14" ht="67" customHeight="1">
      <c r="A14" s="2" t="inlineStr">
        <is>
          <t>价格下降50%</t>
        </is>
      </c>
      <c r="B14" s="2" t="inlineStr">
        <is>
          <t>固定质量、用量和人工时间：总成本降幅=50%×API成本占比</t>
        </is>
      </c>
      <c r="C14" s="2" t="inlineStr">
        <is>
          <t>纯静态敏感性分析；例如API占比10%，总成本下降5%，不是实测结论。</t>
        </is>
      </c>
    </row>
    <row r="15" ht="67" customHeight="1">
      <c r="A15" s="3" t="inlineStr">
        <is>
          <t>人工估值</t>
        </is>
      </c>
      <c r="B15" s="3" t="inlineStr">
        <is>
          <t>60/120/240元每小时为情景，不是企业实测工资</t>
        </is>
      </c>
      <c r="C15" s="3" t="inlineStr">
        <is>
          <t>原始分钟数优先报告；学习时间、数据准备、写作、核验、修改分别记。</t>
        </is>
      </c>
    </row>
    <row r="16" ht="67" customHeight="1">
      <c r="A16" s="2" t="inlineStr">
        <is>
          <t>统计单位</t>
        </is>
      </c>
      <c r="B16" s="2" t="inlineStr">
        <is>
          <t>80道题，每题4个条件配对；320份草稿不是320个独立样本</t>
        </is>
      </c>
      <c r="C16" s="2" t="inlineStr">
        <is>
          <t>按题报告配对差异/区间，按公司做敏感性检查；人工样本仅2名学生作者，限制外推。</t>
        </is>
      </c>
    </row>
  </sheetData>
  <autoFilter ref="A1:C16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  <col width="120" customWidth="1" min="3" max="3"/>
  </cols>
  <sheetData>
    <row r="1" ht="32" customHeight="1">
      <c r="A1" s="1" t="inlineStr">
        <is>
          <t>时间_北京时间</t>
        </is>
      </c>
      <c r="B1" s="1" t="inlineStr">
        <is>
          <t>成果目标</t>
        </is>
      </c>
      <c r="C1" s="1" t="inlineStr">
        <is>
          <t>验收/条件</t>
        </is>
      </c>
    </row>
    <row r="2" ht="67" customHeight="1">
      <c r="A2" s="2" t="inlineStr">
        <is>
          <t>10月19—20日</t>
        </is>
      </c>
      <c r="B2" s="2" t="inlineStr">
        <is>
          <t>完成20题pilot及80次调用；建立证据包与评分试标</t>
        </is>
      </c>
      <c r="C2" s="2" t="inlineStr">
        <is>
          <t>B/D原页归档与双评；C用量/账单校准；A冻结问题、综述、实验口径</t>
        </is>
      </c>
    </row>
    <row r="3" ht="67" customHeight="1">
      <c r="A3" s="3" t="inlineStr">
        <is>
          <t>10月20日晚</t>
        </is>
      </c>
      <c r="B3" s="3" t="inlineStr">
        <is>
          <t>预实验通过后冻结正式方案</t>
        </is>
      </c>
      <c r="C3" s="3" t="inlineStr">
        <is>
          <t>有真实来源、有时间边界、有usage、有可执行评分；未达到则先修复，不能以补造数据赶进度</t>
        </is>
      </c>
    </row>
    <row r="4" ht="67" customHeight="1">
      <c r="A4" s="2" t="inlineStr">
        <is>
          <t>10月21—22日</t>
        </is>
      </c>
      <c r="B4" s="2" t="inlineStr">
        <is>
          <t>正式80题、证据与答案标准冻结；完成320份草稿</t>
        </is>
      </c>
      <c r="C4" s="2" t="inlineStr">
        <is>
          <t>分批冻结；同题四条件共用证据；24题人工分配事先随机并隔离答案</t>
        </is>
      </c>
    </row>
    <row r="5" ht="67" customHeight="1">
      <c r="A5" s="3" t="inlineStr">
        <is>
          <t>10月23—24日</t>
        </is>
      </c>
      <c r="B5" s="3" t="inlineStr">
        <is>
          <t>48次人工任务、独立评分、成本与图表</t>
        </is>
      </c>
      <c r="C5" s="3" t="inlineStr">
        <is>
          <t>人工与AI草稿均双评；争议留痕；结果不足时如实报告</t>
        </is>
      </c>
    </row>
    <row r="6" ht="67" customHeight="1">
      <c r="A6" s="2" t="inlineStr">
        <is>
          <t>10月25日</t>
        </is>
      </c>
      <c r="B6" s="2" t="inlineStr">
        <is>
          <t>完整初稿</t>
        </is>
      </c>
      <c r="C6" s="2" t="inlineStr">
        <is>
          <t>每项结论能回指原始数据/文献；不提前写显著性结论</t>
        </is>
      </c>
    </row>
    <row r="7" ht="67" customHeight="1">
      <c r="A7" s="3" t="inlineStr">
        <is>
          <t>10月26—27日</t>
        </is>
      </c>
      <c r="B7" s="3" t="inlineStr">
        <is>
          <t>交叉审稿与稳健性核对</t>
        </is>
      </c>
      <c r="C7" s="3" t="inlineStr">
        <is>
          <t>数字、引用、失败样本、限制与创新表述</t>
        </is>
      </c>
    </row>
    <row r="8" ht="67" customHeight="1">
      <c r="A8" s="2" t="inlineStr">
        <is>
          <t>10月28日</t>
        </is>
      </c>
      <c r="B8" s="2" t="inlineStr">
        <is>
          <t>Word/PDF定稿</t>
        </is>
      </c>
      <c r="C8" s="2" t="inlineStr">
        <is>
          <t>格式、字数、附录、页码、图表一致</t>
        </is>
      </c>
    </row>
    <row r="9" ht="67" customHeight="1">
      <c r="A9" s="3" t="inlineStr">
        <is>
          <t>10月29日18:00</t>
        </is>
      </c>
      <c r="B9" s="3" t="inlineStr">
        <is>
          <t>内部提交目标</t>
        </is>
      </c>
      <c r="C9" s="3" t="inlineStr">
        <is>
          <t>现有材料写最终22:00、天津大学分赛场；待用户提供赛事原通知核实</t>
        </is>
      </c>
    </row>
    <row r="10" ht="67" customHeight="1">
      <c r="A10" s="2" t="inlineStr">
        <is>
          <t>预设缩减备选</t>
        </is>
      </c>
      <c r="B10" s="2" t="inlineStr">
        <is>
          <t>若20日晚仍无法完成pilot，先保质量再确定规模</t>
        </is>
      </c>
      <c r="C10" s="2" t="inlineStr">
        <is>
          <t>可讨论改为40正式题（每公司5、四类各10），在正式结果产生前登记理由；当前仍按80题目标执行</t>
        </is>
      </c>
    </row>
  </sheetData>
  <autoFilter ref="A1:C1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2026-10-17T11:12:20Z</dcterms:created>
  <dcterms:modified xmlns:dcterms="http://purl.org/dc/terms/" xmlns:xsi="http://www.w3.org/2001/XMLSchema-instance" xsi:type="dcterms:W3CDTF">2026-10-19T15:32:37Z</dcterms:modified>
</cp:coreProperties>
</file>