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2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9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口径说明" sheetId="1" state="visible" r:id="rId3"/>
    <sheet name="01_逐次费用" sheetId="2" state="visible" r:id="rId4"/>
    <sheet name="02_四条件汇总" sheetId="3" state="visible" r:id="rId5"/>
    <sheet name="03_A校准与D门槛" sheetId="4" state="visible" r:id="rId6"/>
    <sheet name="04_价格折扣情景" sheetId="5" state="visible" r:id="rId7"/>
    <sheet name="05_人工时间情景" sheetId="6" state="visible" r:id="rId8"/>
    <sheet name="06_炊具均值复算" sheetId="7" state="visible" r:id="rId9"/>
    <sheet name="07_文献与页码" sheetId="8" state="visible" r:id="rId10"/>
    <sheet name="08_提交检查" sheetId="9" state="visible" r:id="rId11"/>
    <sheet name="09_评分版本比较" sheetId="10" state="visible" r:id="rId12"/>
    <sheet name="10_细项分歧" sheetId="11" state="visible" r:id="rId13"/>
    <sheet name="11_D评分原值" sheetId="12" state="visible" r:id="rId14"/>
    <sheet name="12_规则差异" sheetId="13" state="visible" r:id="rId15"/>
    <sheet name="13_合格成本与一致率" sheetId="14" state="visible" r:id="rId16"/>
  </sheets>
  <definedNames>
    <definedName function="false" hidden="true" localSheetId="0" name="_xlnm._FilterDatabase" vbProcedure="false">'00_口径说明'!$A$1:$B$9</definedName>
    <definedName function="false" hidden="true" localSheetId="1" name="_xlnm._FilterDatabase" vbProcedure="false">'01_逐次费用'!$A$1:$O$10</definedName>
    <definedName function="false" hidden="true" localSheetId="2" name="_xlnm._FilterDatabase" vbProcedure="false">'02_四条件汇总'!$A$1:$H$5</definedName>
    <definedName function="false" hidden="true" localSheetId="3" name="_xlnm._FilterDatabase" vbProcedure="false">'03_A校准与D门槛'!$A$1:$L$9</definedName>
    <definedName function="false" hidden="true" localSheetId="4" name="_xlnm._FilterDatabase" vbProcedure="false">'04_价格折扣情景'!$A$1:$D$10</definedName>
    <definedName function="false" hidden="true" localSheetId="5" name="_xlnm._FilterDatabase" vbProcedure="false">'05_人工时间情景'!$A$1:$H$16</definedName>
    <definedName function="false" hidden="true" localSheetId="6" name="_xlnm._FilterDatabase" vbProcedure="false">'06_炊具均值复算'!$A$1:$F$3</definedName>
    <definedName function="false" hidden="true" localSheetId="7" name="_xlnm._FilterDatabase" vbProcedure="false">'07_文献与页码'!$A$1:$I$4</definedName>
    <definedName function="false" hidden="true" localSheetId="8" name="_xlnm._FilterDatabase" vbProcedure="false">'08_提交检查'!$A$1:$D$13</definedName>
    <definedName function="false" hidden="true" localSheetId="9" name="_xlnm._FilterDatabase" vbProcedure="false">'09_评分版本比较'!$A$1:$I$9</definedName>
    <definedName function="false" hidden="true" localSheetId="10" name="_xlnm._FilterDatabase" vbProcedure="false">'10_细项分歧'!$A$1:$G$11</definedName>
    <definedName function="false" hidden="true" localSheetId="11" name="_xlnm._FilterDatabase" vbProcedure="false">'11_D评分原值'!$A$1:$N$9</definedName>
    <definedName function="false" hidden="true" localSheetId="12" name="_xlnm._FilterDatabase" vbProcedure="false">'12_规则差异'!$A$1:$D$8</definedName>
    <definedName function="false" hidden="true" localSheetId="13" name="_xlnm._FilterDatabase" vbProcedure="false">'13_合格成本与一致率'!$A$1:$C$16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<sst xmlns="http://schemas.openxmlformats.org/spreadsheetml/2006/main" count="480" uniqueCount="278">
  <si>
    <t xml:space="preserve">项目</t>
  </si>
  <si>
    <t xml:space="preserve">说明</t>
  </si>
  <si>
    <t xml:space="preserve">数据截点</t>
  </si>
  <si>
    <t xml:space="preserve">2026-10-29；D两份8条评分已收且相同。未完成受控人工写作任务。</t>
  </si>
  <si>
    <t xml:space="preserve">用途</t>
  </si>
  <si>
    <t xml:space="preserve">本簿区分日志实测、参考费用、评分校准和假设情景。不能把情景工资/时间写成企业实测。</t>
  </si>
  <si>
    <t xml:space="preserve">身份</t>
  </si>
  <si>
    <t xml:space="preserve">金金有味队：李牧轩、刘铠侨、李泽锴、黄玺诺；天津大学分赛场。</t>
  </si>
  <si>
    <t xml:space="preserve">费用</t>
  </si>
  <si>
    <t xml:space="preserve">每次(input_tokens×input_rate+output_tokens×output_rate)/1000000；本轮缓存命中0。</t>
  </si>
  <si>
    <t xml:space="preserve">评价</t>
  </si>
  <si>
    <t xml:space="preserve">A校准后与D均3/8通过；首次A与D门槛一致3/8。逐维口径仍有分歧，不作正式信度验证或模型排名。</t>
  </si>
  <si>
    <t xml:space="preserve">来源</t>
  </si>
  <si>
    <t xml:space="preserve">01日志来自C交付经核验数据；评分来自v1.5。参考链接见文稿。</t>
  </si>
  <si>
    <t xml:space="preserve">公式</t>
  </si>
  <si>
    <t xml:space="preserve">Excel公式可重算；绿色或蓝色值为已记录数据，情景假设另表。空白实付、D评分均不得填0。</t>
  </si>
  <si>
    <t xml:space="preserve">保密流程</t>
  </si>
  <si>
    <t xml:space="preserve">D自述未看A评分、答案或映射，队长确认未看CAL04/07改分讨论；含内部修订，最早未修订版未收。无访问日志审计。</t>
  </si>
  <si>
    <t xml:space="preserve">匿名ID</t>
  </si>
  <si>
    <t xml:space="preserve">题号</t>
  </si>
  <si>
    <t xml:space="preserve">模型</t>
  </si>
  <si>
    <t xml:space="preserve">流程</t>
  </si>
  <si>
    <t xml:space="preserve">输入Token</t>
  </si>
  <si>
    <t xml:space="preserve">输出Token</t>
  </si>
  <si>
    <t xml:space="preserve">输入单价_元每百万</t>
  </si>
  <si>
    <t xml:space="preserve">输出单价_元每百万</t>
  </si>
  <si>
    <t xml:space="preserve">复算费用_元</t>
  </si>
  <si>
    <t xml:space="preserve">原记录参考费_元</t>
  </si>
  <si>
    <t xml:space="preserve">差额</t>
  </si>
  <si>
    <t xml:space="preserve">缓存命中Token</t>
  </si>
  <si>
    <t xml:space="preserve">调用时间北京时间</t>
  </si>
  <si>
    <t xml:space="preserve">实际支付_待账单</t>
  </si>
  <si>
    <t xml:space="preserve">来源状态</t>
  </si>
  <si>
    <t xml:space="preserve">CAL-01</t>
  </si>
  <si>
    <t xml:space="preserve">P-A07</t>
  </si>
  <si>
    <t xml:space="preserve">千问</t>
  </si>
  <si>
    <t xml:space="preserve">boundary</t>
  </si>
  <si>
    <t xml:space="preserve">2026-10-24T00:08:04.880+08:00</t>
  </si>
  <si>
    <t xml:space="preserve">日志用量；单价复算，非实付</t>
  </si>
  <si>
    <t xml:space="preserve">CAL-02</t>
  </si>
  <si>
    <t xml:space="preserve">P-A08</t>
  </si>
  <si>
    <t xml:space="preserve">DeepSeek</t>
  </si>
  <si>
    <t xml:space="preserve">2026-10-24T00:08:09.272+08:00</t>
  </si>
  <si>
    <t xml:space="preserve">CAL-03</t>
  </si>
  <si>
    <t xml:space="preserve">direct</t>
  </si>
  <si>
    <t xml:space="preserve">2026-10-24T00:08:12.227+08:00</t>
  </si>
  <si>
    <t xml:space="preserve">CAL-04</t>
  </si>
  <si>
    <t xml:space="preserve">2026-10-24T00:08:13.997+08:00</t>
  </si>
  <si>
    <t xml:space="preserve">CAL-05</t>
  </si>
  <si>
    <t xml:space="preserve">2026-10-24T00:08:18.342+08:00</t>
  </si>
  <si>
    <t xml:space="preserve">CAL-06</t>
  </si>
  <si>
    <t xml:space="preserve">2026-10-24T00:08:25.046+08:00</t>
  </si>
  <si>
    <t xml:space="preserve">CAL-07</t>
  </si>
  <si>
    <t xml:space="preserve">2026-10-24T00:08:27.584+08:00</t>
  </si>
  <si>
    <t xml:space="preserve">CAL-08</t>
  </si>
  <si>
    <t xml:space="preserve">2026-10-24T00:08:31.304+08:00</t>
  </si>
  <si>
    <t xml:space="preserve">合计</t>
  </si>
  <si>
    <t xml:space="preserve">8次/2题</t>
  </si>
  <si>
    <t xml:space="preserve">次数</t>
  </si>
  <si>
    <t xml:space="preserve">参考费用合计</t>
  </si>
  <si>
    <t xml:space="preserve">平均每次费用</t>
  </si>
  <si>
    <t xml:space="preserve">备注</t>
  </si>
  <si>
    <t xml:space="preserve">两题各一次，不做质量排名</t>
  </si>
  <si>
    <t xml:space="preserve">F</t>
  </si>
  <si>
    <t xml:space="preserve">E</t>
  </si>
  <si>
    <t xml:space="preserve">C</t>
  </si>
  <si>
    <t xml:space="preserve">B</t>
  </si>
  <si>
    <t xml:space="preserve">关键错误</t>
  </si>
  <si>
    <t xml:space="preserve">标准U</t>
  </si>
  <si>
    <t xml:space="preserve">当前门槛</t>
  </si>
  <si>
    <t xml:space="preserve">评分来源</t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</si>
  <si>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回传门槛</t>
    </r>
  </si>
  <si>
    <t xml:space="preserve">当前共同门槛_非细项裁定</t>
  </si>
  <si>
    <t xml:space="preserve">否</t>
  </si>
  <si>
    <t xml:space="preserve">通过</t>
  </si>
  <si>
    <t xml:space="preserve">沿用A复核版</t>
  </si>
  <si>
    <t xml:space="preserve">未通过</t>
  </si>
  <si>
    <t xml:space="preserve">是</t>
  </si>
  <si>
    <t xml:space="preserve">助手辅助裁定</t>
  </si>
  <si>
    <t xml:space="preserve">假设API成本占比</t>
  </si>
  <si>
    <t xml:space="preserve">假设API降价比例</t>
  </si>
  <si>
    <t xml:space="preserve">总成本下降比例</t>
  </si>
  <si>
    <t xml:space="preserve">其他条件</t>
  </si>
  <si>
    <t xml:space="preserve">质量/用量/人工/合格数固定；非实测占比</t>
  </si>
  <si>
    <t xml:space="preserve">假设小时价值</t>
  </si>
  <si>
    <t xml:space="preserve">假设分钟每条</t>
  </si>
  <si>
    <t xml:space="preserve">平均API费锚点</t>
  </si>
  <si>
    <t xml:space="preserve">人工费用</t>
  </si>
  <si>
    <t xml:space="preserve">部分总额</t>
  </si>
  <si>
    <r>
      <rPr>
        <b val="true"/>
        <sz val="11"/>
        <color rgb="FFFFFFFF"/>
        <rFont val="Cambria"/>
        <family val="0"/>
        <charset val="1"/>
      </rPr>
      <t xml:space="preserve">API</t>
    </r>
    <r>
      <rPr>
        <b val="true"/>
        <sz val="11"/>
        <color rgb="FFFFFFFF"/>
        <rFont val="Noto Sans CJK SC"/>
        <family val="2"/>
      </rPr>
      <t xml:space="preserve">降价</t>
    </r>
    <r>
      <rPr>
        <b val="true"/>
        <sz val="11"/>
        <color rgb="FFFFFFFF"/>
        <rFont val="Cambria"/>
        <family val="0"/>
        <charset val="1"/>
      </rPr>
      <t xml:space="preserve">50%</t>
    </r>
    <r>
      <rPr>
        <b val="true"/>
        <sz val="11"/>
        <color rgb="FFFFFFFF"/>
        <rFont val="Noto Sans CJK SC"/>
        <family val="2"/>
      </rPr>
      <t xml:space="preserve">后部分总额</t>
    </r>
  </si>
  <si>
    <t xml:space="preserve">总额降幅</t>
  </si>
  <si>
    <t xml:space="preserve">情景；未计准备、部署及质量差异</t>
  </si>
  <si>
    <t xml:space="preserve">期间</t>
  </si>
  <si>
    <t xml:space="preserve">收入元</t>
  </si>
  <si>
    <t xml:space="preserve">销量台或套</t>
  </si>
  <si>
    <t xml:space="preserve">类别平均收入</t>
  </si>
  <si>
    <t xml:space="preserve">平均收入同比</t>
  </si>
  <si>
    <t xml:space="preserve">证据</t>
  </si>
  <si>
    <t xml:space="preserve">苏泊尔年报原13—14页</t>
  </si>
  <si>
    <t xml:space="preserve">推导值，不是同款价格</t>
  </si>
  <si>
    <t xml:space="preserve">编号</t>
  </si>
  <si>
    <t xml:space="preserve">文献</t>
  </si>
  <si>
    <t xml:space="preserve">类型</t>
  </si>
  <si>
    <t xml:space="preserve">样本</t>
  </si>
  <si>
    <t xml:space="preserve">指标</t>
  </si>
  <si>
    <t xml:space="preserve">结论边界</t>
  </si>
  <si>
    <t xml:space="preserve">正文页码</t>
  </si>
  <si>
    <r>
      <rPr>
        <b val="true"/>
        <sz val="11"/>
        <color rgb="FFFFFFFF"/>
        <rFont val="Cambria"/>
        <family val="0"/>
        <charset val="1"/>
      </rPr>
      <t xml:space="preserve">PDF</t>
    </r>
    <r>
      <rPr>
        <b val="true"/>
        <sz val="11"/>
        <color rgb="FFFFFFFF"/>
        <rFont val="Noto Sans CJK SC"/>
        <family val="2"/>
      </rPr>
      <t xml:space="preserve">对应</t>
    </r>
  </si>
  <si>
    <t xml:space="preserve">链接</t>
  </si>
  <si>
    <t xml:space="preserve">3</t>
  </si>
  <si>
    <t xml:space="preserve">Chen等，2025-08-05</t>
  </si>
  <si>
    <t xml:space="preserve">工作稿，非期刊</t>
  </si>
  <si>
    <t xml:space="preserve">4680公司；7818963公司—交易日</t>
  </si>
  <si>
    <t xml:space="preserve">报价价差；提问/评论及回复分类</t>
  </si>
  <si>
    <t xml:space="preserve">质量关联不能当AI生成准确率或因果</t>
  </si>
  <si>
    <t xml:space="preserve">9—10；18—21；表6B 45</t>
  </si>
  <si>
    <t xml:space="preserve">正文+1</t>
  </si>
  <si>
    <t xml:space="preserve">https://papers.ssrn.com/sol3/papers.cfm?abstract_id=4281898</t>
  </si>
  <si>
    <t xml:space="preserve">4</t>
  </si>
  <si>
    <t xml:space="preserve">徐寿福、郑迎飞、罗雨杰，2022</t>
  </si>
  <si>
    <t xml:space="preserve">财经研究48(10):153—168</t>
  </si>
  <si>
    <t xml:space="preserve">92155公司—季度</t>
  </si>
  <si>
    <t xml:space="preserve">互动频次/文本；残差波动</t>
  </si>
  <si>
    <t xml:space="preserve">互动与风险关系不证明AI造成风险</t>
  </si>
  <si>
    <t xml:space="preserve">156—159；162</t>
  </si>
  <si>
    <t xml:space="preserve">印刷页-152</t>
  </si>
  <si>
    <t xml:space="preserve">https://qks.shufe.edu.cn/j/PDFFull/17794c14-b22d-4e71-b91b-053fc480a45a.pdf</t>
  </si>
  <si>
    <t xml:space="preserve">5</t>
  </si>
  <si>
    <t xml:space="preserve">樊犇、吴燕博、刘恒源，2026</t>
  </si>
  <si>
    <t xml:space="preserve">审计与经济研究41(4):94—104</t>
  </si>
  <si>
    <t xml:space="preserve">25996公司—年度</t>
  </si>
  <si>
    <t xml:space="preserve">LLM识别监督；真实盈余管理</t>
  </si>
  <si>
    <t xml:space="preserve">LLM文本测量不等于生成回复可靠</t>
  </si>
  <si>
    <t xml:space="preserve">97—101</t>
  </si>
  <si>
    <t xml:space="preserve">印刷页-93</t>
  </si>
  <si>
    <t xml:space="preserve">https://xbbjb.nau.edu.cn/sjyjjyj/article/abstract/20260204010</t>
  </si>
  <si>
    <t xml:space="preserve">事项</t>
  </si>
  <si>
    <t xml:space="preserve">当前状态</t>
  </si>
  <si>
    <t xml:space="preserve">操作</t>
  </si>
  <si>
    <t xml:space="preserve">依据</t>
  </si>
  <si>
    <t xml:space="preserve">赛场</t>
  </si>
  <si>
    <t xml:space="preserve">已确认</t>
  </si>
  <si>
    <t xml:space="preserve">仅天津大学分赛场</t>
  </si>
  <si>
    <t xml:space="preserve">用户10/28确认；手册16—18页</t>
  </si>
  <si>
    <t xml:space="preserve">截止</t>
  </si>
  <si>
    <t xml:space="preserve">2026-10-29 22:00前，内部18:00</t>
  </si>
  <si>
    <t xml:space="preserve">用户确认天大通知有效</t>
  </si>
  <si>
    <t xml:space="preserve">邮箱</t>
  </si>
  <si>
    <t xml:space="preserve">tjucomers2026@163.com；发送Word和PDF</t>
  </si>
  <si>
    <t xml:space="preserve">用户确认；助手未代发</t>
  </si>
  <si>
    <t xml:space="preserve">署名</t>
  </si>
  <si>
    <t xml:space="preserve">金金有味队；李牧轩 刘铠侨 李泽锴 黄玺诺</t>
  </si>
  <si>
    <t xml:space="preserve">用户提供</t>
  </si>
  <si>
    <t xml:space="preserve">电话邮箱</t>
  </si>
  <si>
    <t xml:space="preserve">不在公开稿中收集</t>
  </si>
  <si>
    <t xml:space="preserve">队长本地补入正式提交文件名</t>
  </si>
  <si>
    <t xml:space="preserve">手册命名格式及本地通知</t>
  </si>
  <si>
    <t xml:space="preserve">全文字数</t>
  </si>
  <si>
    <t xml:space="preserve">已检查：含表格可见字符17542，低于30000</t>
  </si>
  <si>
    <t xml:space="preserve">全文含附录、参考文献、文本框、脚注尾注均控制30000以内</t>
  </si>
  <si>
    <t xml:space="preserve">手册18页</t>
  </si>
  <si>
    <t xml:space="preserve">字体</t>
  </si>
  <si>
    <t xml:space="preserve">Word已设；PDF环境替代</t>
  </si>
  <si>
    <t xml:space="preserve">有宋体/Times New Roman电脑本地打开Word重新导出PDF</t>
  </si>
  <si>
    <t xml:space="preserve">当前环境缺规定字体</t>
  </si>
  <si>
    <t xml:space="preserve">D评分</t>
  </si>
  <si>
    <t xml:space="preserve">8条已收，两份一致</t>
  </si>
  <si>
    <t xml:space="preserve">首次A与D一致37.5%；校准后同3/8通过，保留细项分歧</t>
  </si>
  <si>
    <t xml:space="preserve">D回传两份原件；D自述独立且含内部修订</t>
  </si>
  <si>
    <t xml:space="preserve">C账单</t>
  </si>
  <si>
    <t xml:space="preserve">未回收</t>
  </si>
  <si>
    <t xml:space="preserve">实付缺失则保留参考价标签，不填0</t>
  </si>
  <si>
    <t xml:space="preserve">费用来源</t>
  </si>
  <si>
    <t xml:space="preserve">新增样本</t>
  </si>
  <si>
    <t xml:space="preserve">待核验</t>
  </si>
  <si>
    <t xml:space="preserve">合格来源补入收集状态；无新调用不能增加实验数</t>
  </si>
  <si>
    <t xml:space="preserve">时间截止原则</t>
  </si>
  <si>
    <t xml:space="preserve">附件一致</t>
  </si>
  <si>
    <t xml:space="preserve">待最终本地导出</t>
  </si>
  <si>
    <t xml:space="preserve">打开Word/PDF逐页检查图表、字体、目录及页码</t>
  </si>
  <si>
    <t xml:space="preserve">提交前</t>
  </si>
  <si>
    <t xml:space="preserve">发送回执</t>
  </si>
  <si>
    <t xml:space="preserve">未发送</t>
  </si>
  <si>
    <t xml:space="preserve">核对邮箱/文件名/附件可读，保存发送及回执</t>
  </si>
  <si>
    <t xml:space="preserve">队长执行</t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</si>
  <si>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首次通过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否</t>
    </r>
    <r>
      <rPr>
        <b val="true"/>
        <sz val="11"/>
        <color rgb="FFFFFFFF"/>
        <rFont val="Cambria"/>
        <family val="0"/>
        <charset val="1"/>
      </rPr>
      <t xml:space="preserve">0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</si>
  <si>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复核通过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</si>
  <si>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辅助通过</t>
    </r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</si>
  <si>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提交通过</t>
    </r>
  </si>
  <si>
    <t xml:space="preserve">首次A与D一致</t>
  </si>
  <si>
    <t xml:space="preserve">校准后与D一致</t>
  </si>
  <si>
    <t xml:space="preserve">版本备注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</si>
  <si>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自述未看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评分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参考答案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映射；含内部修订</t>
    </r>
  </si>
  <si>
    <t xml:space="preserve">字段</t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</si>
  <si>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首次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</si>
  <si>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复核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</si>
  <si>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辅助</t>
    </r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</si>
  <si>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提交</t>
    </r>
  </si>
  <si>
    <t xml:space="preserve">处理状态</t>
  </si>
  <si>
    <t xml:space="preserve">保留双方原值；未取得逐维共同裁定</t>
  </si>
  <si>
    <t xml:space="preserve">过度拒答</t>
  </si>
  <si>
    <t xml:space="preserve">覆盖核心数</t>
  </si>
  <si>
    <t xml:space="preserve">U</t>
  </si>
  <si>
    <t xml:space="preserve">无依据</t>
  </si>
  <si>
    <t xml:space="preserve">覆盖</t>
  </si>
  <si>
    <t xml:space="preserve">应覆盖</t>
  </si>
  <si>
    <t xml:space="preserve">理由</t>
  </si>
  <si>
    <r>
      <rPr>
        <sz val="11"/>
        <color theme="1"/>
        <rFont val="Calibri"/>
        <family val="2"/>
        <charset val="1"/>
      </rPr>
      <t xml:space="preserve">F:2.09%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4.76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(4.759</t>
    </r>
    <r>
      <rPr>
        <sz val="11"/>
        <color theme="1"/>
        <rFont val="Noto Sans CJK SC"/>
        <family val="2"/>
      </rPr>
      <t xml:space="preserve">亿舍入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、研发费用</t>
    </r>
    <r>
      <rPr>
        <sz val="11"/>
        <color theme="1"/>
        <rFont val="Calibri"/>
        <family val="2"/>
        <charset val="1"/>
      </rPr>
      <t xml:space="preserve">+1.33%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SP_AR_p016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引用支持全部事实。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覆盖投入规模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趋势、研发方向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消费者需求导向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差异化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安全环保便捷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，并正确拒答同行对比与竞争力影响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证据确实未披露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3/3</t>
    </r>
    <r>
      <rPr>
        <sz val="11"/>
        <color theme="1"/>
        <rFont val="Noto Sans CJK SC"/>
        <family val="2"/>
      </rPr>
      <t xml:space="preserve">核心完成。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明确区分事实与未知，无编造。非过度拒答：可答事实已答，未知部分如实说明并建议关注后续公告。
【口径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"+1.33%"</t>
    </r>
    <r>
      <rPr>
        <sz val="11"/>
        <color theme="1"/>
        <rFont val="Noto Sans CJK SC"/>
        <family val="2"/>
      </rPr>
      <t xml:space="preserve">为研发投入金额同比（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475,923,455.10</t>
    </r>
    <r>
      <rPr>
        <sz val="11"/>
        <color theme="1"/>
        <rFont val="Noto Sans CJK SC"/>
        <family val="2"/>
      </rPr>
      <t xml:space="preserve">元对</t>
    </r>
    <r>
      <rPr>
        <sz val="11"/>
        <color theme="1"/>
        <rFont val="Calibri"/>
        <family val="2"/>
        <charset val="1"/>
      </rPr>
      <t xml:space="preserve">469,662,999.96</t>
    </r>
    <r>
      <rPr>
        <sz val="11"/>
        <color theme="1"/>
        <rFont val="Noto Sans CJK SC"/>
        <family val="2"/>
      </rPr>
      <t xml:space="preserve">元），与占比同比</t>
    </r>
    <r>
      <rPr>
        <sz val="11"/>
        <color theme="1"/>
        <rFont val="Calibri"/>
        <family val="2"/>
        <charset val="1"/>
      </rPr>
      <t xml:space="preserve">0.00%</t>
    </r>
    <r>
      <rPr>
        <sz val="11"/>
        <color theme="1"/>
        <rFont val="Noto Sans CJK SC"/>
        <family val="2"/>
      </rPr>
      <t xml:space="preserve">分属两个口径；</t>
    </r>
    <r>
      <rPr>
        <sz val="11"/>
        <color theme="1"/>
        <rFont val="Calibri"/>
        <family val="2"/>
        <charset val="1"/>
      </rPr>
      <t xml:space="preserve">"4.76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R02</t>
    </r>
    <r>
      <rPr>
        <sz val="11"/>
        <color theme="1"/>
        <rFont val="Noto Sans CJK SC"/>
        <family val="2"/>
      </rPr>
      <t xml:space="preserve">半个显示单位容差（</t>
    </r>
    <r>
      <rPr>
        <sz val="11"/>
        <color theme="1"/>
        <rFont val="Calibri"/>
        <family val="2"/>
        <charset val="1"/>
      </rPr>
      <t xml:space="preserve">±0.005</t>
    </r>
    <r>
      <rPr>
        <sz val="11"/>
        <color theme="1"/>
        <rFont val="Noto Sans CJK SC"/>
        <family val="2"/>
      </rPr>
      <t xml:space="preserve">亿）覆盖</t>
    </r>
    <r>
      <rPr>
        <sz val="11"/>
        <color theme="1"/>
        <rFont val="Calibri"/>
        <family val="2"/>
        <charset val="1"/>
      </rPr>
      <t xml:space="preserve">4.759</t>
    </r>
    <r>
      <rPr>
        <sz val="11"/>
        <color theme="1"/>
        <rFont val="Noto Sans CJK SC"/>
        <family val="2"/>
      </rPr>
      <t xml:space="preserve">亿，舍入成立。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</si>
  <si>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炊具销量</t>
    </r>
    <r>
      <rPr>
        <sz val="11"/>
        <color theme="1"/>
        <rFont val="Calibri"/>
        <family val="2"/>
        <charset val="1"/>
      </rPr>
      <t xml:space="preserve">92,664,612/+8.10%</t>
    </r>
    <r>
      <rPr>
        <sz val="11"/>
        <color theme="1"/>
        <rFont val="Noto Sans CJK SC"/>
        <family val="2"/>
      </rPr>
      <t xml:space="preserve">、炊具收入</t>
    </r>
    <r>
      <rPr>
        <sz val="11"/>
        <color theme="1"/>
        <rFont val="Calibri"/>
        <family val="2"/>
        <charset val="1"/>
      </rPr>
      <t xml:space="preserve">69.66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/+1.89%</t>
    </r>
    <r>
      <rPr>
        <sz val="11"/>
        <color theme="1"/>
        <rFont val="Noto Sans CJK SC"/>
        <family val="2"/>
      </rPr>
      <t xml:space="preserve">、总营收</t>
    </r>
    <r>
      <rPr>
        <sz val="11"/>
        <color theme="1"/>
        <rFont val="Calibri"/>
        <family val="2"/>
        <charset val="1"/>
      </rPr>
      <t xml:space="preserve">227.72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/+1.54%</t>
    </r>
    <r>
      <rPr>
        <sz val="11"/>
        <color theme="1"/>
        <rFont val="Noto Sans CJK SC"/>
        <family val="2"/>
      </rPr>
      <t xml:space="preserve">、外销</t>
    </r>
    <r>
      <rPr>
        <sz val="11"/>
        <color theme="1"/>
        <rFont val="Calibri"/>
        <family val="2"/>
        <charset val="1"/>
      </rPr>
      <t xml:space="preserve">74.38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/-0.85%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引用页码支持。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Noto Sans CJK SC"/>
        <family val="2"/>
      </rPr>
      <t xml:space="preserve">量收事实与</t>
    </r>
    <r>
      <rPr>
        <sz val="11"/>
        <color theme="1"/>
        <rFont val="Calibri"/>
        <family val="2"/>
        <charset val="1"/>
      </rPr>
      <t xml:space="preserve">(3)</t>
    </r>
    <r>
      <rPr>
        <sz val="11"/>
        <color theme="1"/>
        <rFont val="Noto Sans CJK SC"/>
        <family val="2"/>
      </rPr>
      <t xml:space="preserve">边界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单价无法确认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外销拖累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，但缺</t>
    </r>
    <r>
      <rPr>
        <sz val="11"/>
        <color theme="1"/>
        <rFont val="Calibri"/>
        <family val="2"/>
        <charset val="1"/>
      </rPr>
      <t xml:space="preserve">(2)</t>
    </r>
    <r>
      <rPr>
        <sz val="11"/>
        <color theme="1"/>
        <rFont val="Noto Sans CJK SC"/>
        <family val="2"/>
      </rPr>
      <t xml:space="preserve">类别均价近似计算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台、约</t>
    </r>
    <r>
      <rPr>
        <sz val="11"/>
        <color theme="1"/>
        <rFont val="Calibri"/>
        <family val="2"/>
        <charset val="1"/>
      </rPr>
      <t xml:space="preserve">-5.74%)</t>
    </r>
    <r>
      <rPr>
        <sz val="11"/>
        <color theme="1"/>
        <rFont val="Noto Sans CJK SC"/>
        <family val="2"/>
      </rPr>
      <t xml:space="preserve">，仅定性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与单价下降方向一致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，核心计算未完成，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正确标注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无法确认降价幅度及是否为唯一原因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，外销作背景提及非必答。
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；合格要求</t>
    </r>
    <r>
      <rPr>
        <sz val="11"/>
        <color theme="1"/>
        <rFont val="Calibri"/>
        <family val="2"/>
        <charset val="1"/>
      </rPr>
      <t xml:space="preserve">C=2</t>
    </r>
    <r>
      <rPr>
        <sz val="11"/>
        <color theme="1"/>
        <rFont val="Noto Sans CJK SC"/>
        <family val="2"/>
      </rPr>
      <t xml:space="preserve">，故不影响不合格结论。缺项为类别均价近似测算（约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台、约</t>
    </r>
    <r>
      <rPr>
        <sz val="11"/>
        <color theme="1"/>
        <rFont val="Calibri"/>
        <family val="2"/>
        <charset val="1"/>
      </rPr>
      <t xml:space="preserve">-5.74%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</si>
  <si>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F:4.759</t>
    </r>
    <r>
      <rPr>
        <sz val="11"/>
        <color theme="1"/>
        <rFont val="Noto Sans CJK SC"/>
        <family val="2"/>
      </rPr>
      <t xml:space="preserve">亿、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、与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持平、全部费用化无资本化、研发人员</t>
    </r>
    <r>
      <rPr>
        <sz val="11"/>
        <color theme="1"/>
        <rFont val="Calibri"/>
        <family val="2"/>
        <charset val="1"/>
      </rPr>
      <t xml:space="preserve">1,387</t>
    </r>
    <r>
      <rPr>
        <sz val="11"/>
        <color theme="1"/>
        <rFont val="Noto Sans CJK SC"/>
        <family val="2"/>
      </rPr>
      <t xml:space="preserve">人占</t>
    </r>
    <r>
      <rPr>
        <sz val="11"/>
        <color theme="1"/>
        <rFont val="Calibri"/>
        <family val="2"/>
        <charset val="1"/>
      </rPr>
      <t xml:space="preserve">12.91%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引用到位。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覆盖投入规模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结构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资本化、人员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、研发方向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差异化厨房产品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拓展品类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提升附加值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、边界处理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同行差异原因证据未解释、无法判断竞争力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3/3</t>
    </r>
    <r>
      <rPr>
        <sz val="11"/>
        <color theme="1"/>
        <rFont val="Noto Sans CJK SC"/>
        <family val="2"/>
      </rPr>
      <t xml:space="preserve">完成。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明确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信息缺口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，无编造。
【口径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年持平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紧邻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占营业收入</t>
    </r>
    <r>
      <rPr>
        <sz val="11"/>
        <color theme="1"/>
        <rFont val="Calibri"/>
        <family val="2"/>
        <charset val="1"/>
      </rPr>
      <t xml:space="preserve">2.09%"</t>
    </r>
    <r>
      <rPr>
        <sz val="11"/>
        <color theme="1"/>
        <rFont val="Noto Sans CJK SC"/>
        <family val="2"/>
      </rPr>
      <t xml:space="preserve">，按就近原则判为占比持平（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对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、变动</t>
    </r>
    <r>
      <rPr>
        <sz val="11"/>
        <color theme="1"/>
        <rFont val="Calibri"/>
        <family val="2"/>
        <charset val="1"/>
      </rPr>
      <t xml:space="preserve">0.00%</t>
    </r>
    <r>
      <rPr>
        <sz val="11"/>
        <color theme="1"/>
        <rFont val="Noto Sans CJK SC"/>
        <family val="2"/>
      </rPr>
      <t xml:space="preserve">），与金额同比</t>
    </r>
    <r>
      <rPr>
        <sz val="11"/>
        <color theme="1"/>
        <rFont val="Calibri"/>
        <family val="2"/>
        <charset val="1"/>
      </rPr>
      <t xml:space="preserve">+1.33%</t>
    </r>
    <r>
      <rPr>
        <sz val="11"/>
        <color theme="1"/>
        <rFont val="Noto Sans CJK SC"/>
        <family val="2"/>
      </rPr>
      <t xml:space="preserve">不冲突，</t>
    </r>
    <r>
      <rPr>
        <sz val="11"/>
        <color theme="1"/>
        <rFont val="Calibri"/>
        <family val="2"/>
        <charset val="1"/>
      </rPr>
      <t xml:space="preserve">F=2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</si>
  <si>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、炊具收入</t>
    </r>
    <r>
      <rPr>
        <sz val="11"/>
        <color theme="1"/>
        <rFont val="Calibri"/>
        <family val="2"/>
        <charset val="1"/>
      </rPr>
      <t xml:space="preserve">+1.89%</t>
    </r>
    <r>
      <rPr>
        <sz val="11"/>
        <color theme="1"/>
        <rFont val="Noto Sans CJK SC"/>
        <family val="2"/>
      </rPr>
      <t xml:space="preserve">、营业成本</t>
    </r>
    <r>
      <rPr>
        <sz val="11"/>
        <color theme="1"/>
        <rFont val="Calibri"/>
        <family val="2"/>
        <charset val="1"/>
      </rPr>
      <t xml:space="preserve">+2.17%</t>
    </r>
    <r>
      <rPr>
        <sz val="11"/>
        <color theme="1"/>
        <rFont val="Noto Sans CJK SC"/>
        <family val="2"/>
      </rPr>
      <t xml:space="preserve">、毛利率</t>
    </r>
    <r>
      <rPr>
        <sz val="11"/>
        <color theme="1"/>
        <rFont val="Calibri"/>
        <family val="2"/>
        <charset val="1"/>
      </rPr>
      <t xml:space="preserve">-0.20pp</t>
    </r>
    <r>
      <rPr>
        <sz val="11"/>
        <color theme="1"/>
        <rFont val="Noto Sans CJK SC"/>
        <family val="2"/>
      </rPr>
      <t xml:space="preserve">、食物料理</t>
    </r>
    <r>
      <rPr>
        <sz val="11"/>
        <color theme="1"/>
        <rFont val="Calibri"/>
        <family val="2"/>
        <charset val="1"/>
      </rPr>
      <t xml:space="preserve">-1.64%(p12)</t>
    </r>
    <r>
      <rPr>
        <sz val="11"/>
        <color theme="1"/>
        <rFont val="Noto Sans CJK SC"/>
        <family val="2"/>
      </rPr>
      <t xml:space="preserve">、外销</t>
    </r>
    <r>
      <rPr>
        <sz val="11"/>
        <color theme="1"/>
        <rFont val="Calibri"/>
        <family val="2"/>
        <charset val="1"/>
      </rPr>
      <t xml:space="preserve">SEB</t>
    </r>
    <r>
      <rPr>
        <sz val="11"/>
        <color theme="1"/>
        <rFont val="Noto Sans CJK SC"/>
        <family val="2"/>
      </rPr>
      <t xml:space="preserve">需求减少均与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一致，数字本身无错。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引用页码正确。关键错误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是：将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营收仅增</t>
    </r>
    <r>
      <rPr>
        <sz val="11"/>
        <color theme="1"/>
        <rFont val="Calibri"/>
        <family val="2"/>
        <charset val="1"/>
      </rPr>
      <t xml:space="preserve">1.89%</t>
    </r>
    <r>
      <rPr>
        <sz val="11"/>
        <color theme="1"/>
        <rFont val="Noto Sans CJK SC"/>
        <family val="2"/>
      </rPr>
      <t xml:space="preserve">主要因营业成本增速</t>
    </r>
    <r>
      <rPr>
        <sz val="11"/>
        <color theme="1"/>
        <rFont val="Calibri"/>
        <family val="2"/>
        <charset val="1"/>
      </rPr>
      <t xml:space="preserve">(2.17%)</t>
    </r>
    <r>
      <rPr>
        <sz val="11"/>
        <color theme="1"/>
        <rFont val="Noto Sans CJK SC"/>
        <family val="2"/>
      </rPr>
      <t xml:space="preserve">高于营收增速导致毛利率微降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当作量增收平的主因——混淆了营收与毛利：成本增速影响利润表毛利，不解释销量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与营收</t>
    </r>
    <r>
      <rPr>
        <sz val="11"/>
        <color theme="1"/>
        <rFont val="Calibri"/>
        <family val="2"/>
        <charset val="1"/>
      </rPr>
      <t xml:space="preserve">+1.89%</t>
    </r>
    <r>
      <rPr>
        <sz val="11"/>
        <color theme="1"/>
        <rFont val="Noto Sans CJK SC"/>
        <family val="2"/>
      </rPr>
      <t xml:space="preserve">之间的量价缺口；该错误改变核心判断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把成本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毛利问题当作单价问题的答案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缺类别均价计算，因果链错误，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量价与成本综合结果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作结但因果表述错误，</t>
    </r>
    <r>
      <rPr>
        <sz val="11"/>
        <color theme="1"/>
        <rFont val="Calibri"/>
        <family val="2"/>
        <charset val="1"/>
      </rPr>
      <t xml:space="preserve">B=1</t>
    </r>
    <r>
      <rPr>
        <sz val="11"/>
        <color theme="1"/>
        <rFont val="Noto Sans CJK SC"/>
        <family val="2"/>
      </rPr>
      <t xml:space="preserve">。无依据回答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是。
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C=0</t>
    </r>
    <r>
      <rPr>
        <sz val="11"/>
        <color theme="1"/>
        <rFont val="Noto Sans CJK SC"/>
        <family val="2"/>
      </rPr>
      <t xml:space="preserve">（上一版误计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，本次更正）；本条已因关键错误一票否决，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分更正不改变不合格结论。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</si>
  <si>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、炊具收入</t>
    </r>
    <r>
      <rPr>
        <sz val="11"/>
        <color theme="1"/>
        <rFont val="Calibri"/>
        <family val="2"/>
        <charset val="1"/>
      </rPr>
      <t xml:space="preserve">69.66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/+1.89%</t>
    </r>
    <r>
      <rPr>
        <sz val="11"/>
        <color theme="1"/>
        <rFont val="Noto Sans CJK SC"/>
        <family val="2"/>
      </rPr>
      <t xml:space="preserve">、毛利率</t>
    </r>
    <r>
      <rPr>
        <sz val="11"/>
        <color theme="1"/>
        <rFont val="Calibri"/>
        <family val="2"/>
        <charset val="1"/>
      </rPr>
      <t xml:space="preserve">-0.20pp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引用到位。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Noto Sans CJK SC"/>
        <family val="2"/>
      </rPr>
      <t xml:space="preserve">量收事实，但缺</t>
    </r>
    <r>
      <rPr>
        <sz val="11"/>
        <color theme="1"/>
        <rFont val="Calibri"/>
        <family val="2"/>
        <charset val="1"/>
      </rPr>
      <t xml:space="preserve">(2)</t>
    </r>
    <r>
      <rPr>
        <sz val="11"/>
        <color theme="1"/>
        <rFont val="Noto Sans CJK SC"/>
        <family val="2"/>
      </rPr>
      <t xml:space="preserve">类别均价近似计算，并以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年报未披露分产品平均售价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为由回避可由收入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销量近似计算的单价方向；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并未出现停滞不前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未分析量价差距即否定提问前提。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对未知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Noto Sans CJK SC"/>
        <family val="2"/>
      </rPr>
      <t xml:space="preserve">无法直接确认是否单价下降</t>
    </r>
    <r>
      <rPr>
        <sz val="11"/>
        <color theme="1"/>
        <rFont val="Calibri"/>
        <family val="2"/>
        <charset val="1"/>
      </rPr>
      <t xml:space="preserve">')</t>
    </r>
    <r>
      <rPr>
        <sz val="11"/>
        <color theme="1"/>
        <rFont val="Noto Sans CJK SC"/>
        <family val="2"/>
      </rPr>
      <t xml:space="preserve">标注正确，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持续优化产品结构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提升品牌溢价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为泛化表述非事实断言，</t>
    </r>
    <r>
      <rPr>
        <sz val="11"/>
        <color theme="1"/>
        <rFont val="Calibri"/>
        <family val="2"/>
        <charset val="1"/>
      </rPr>
      <t xml:space="preserve">B=2</t>
    </r>
    <r>
      <rPr>
        <sz val="11"/>
        <color theme="1"/>
        <rFont val="Noto Sans CJK SC"/>
        <family val="2"/>
      </rPr>
      <t xml:space="preserve">。过度拒答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是：回避了可由</t>
    </r>
    <r>
      <rPr>
        <sz val="11"/>
        <color theme="1"/>
        <rFont val="Calibri"/>
        <family val="2"/>
        <charset val="1"/>
      </rPr>
      <t xml:space="preserve">p012</t>
    </r>
    <r>
      <rPr>
        <sz val="11"/>
        <color theme="1"/>
        <rFont val="Noto Sans CJK SC"/>
        <family val="2"/>
      </rPr>
      <t xml:space="preserve">收入</t>
    </r>
    <r>
      <rPr>
        <sz val="11"/>
        <color theme="1"/>
        <rFont val="Calibri"/>
        <family val="2"/>
        <charset val="1"/>
      </rPr>
      <t xml:space="preserve">+p014</t>
    </r>
    <r>
      <rPr>
        <sz val="11"/>
        <color theme="1"/>
        <rFont val="Noto Sans CJK SC"/>
        <family val="2"/>
      </rPr>
      <t xml:space="preserve">销量近似计算的单价方向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-5.74%)</t>
    </r>
    <r>
      <rPr>
        <sz val="11"/>
        <color theme="1"/>
        <rFont val="Noto Sans CJK SC"/>
        <family val="2"/>
      </rPr>
      <t xml:space="preserve">。
【口径</t>
    </r>
    <r>
      <rPr>
        <sz val="11"/>
        <color theme="1"/>
        <rFont val="Calibri"/>
        <family val="2"/>
        <charset val="1"/>
      </rPr>
      <t xml:space="preserve">G04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公司将持续优化产品结构，提升品牌溢价能力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为收尾泛化陈述，未被用于填补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是否单价下降导致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这一核心未知，故</t>
    </r>
    <r>
      <rPr>
        <sz val="11"/>
        <color theme="1"/>
        <rFont val="Calibri"/>
        <family val="2"/>
        <charset val="1"/>
      </rPr>
      <t xml:space="preserve">B=2</t>
    </r>
    <r>
      <rPr>
        <sz val="11"/>
        <color theme="1"/>
        <rFont val="Noto Sans CJK SC"/>
        <family val="2"/>
      </rPr>
      <t xml:space="preserve">；与</t>
    </r>
    <r>
      <rPr>
        <sz val="11"/>
        <color theme="1"/>
        <rFont val="Calibri"/>
        <family val="2"/>
        <charset val="1"/>
      </rPr>
      <t xml:space="preserve">CAL-07</t>
    </r>
    <r>
      <rPr>
        <sz val="11"/>
        <color theme="1"/>
        <rFont val="Noto Sans CJK SC"/>
        <family val="2"/>
      </rPr>
      <t xml:space="preserve">将无依据断言直接用于回答核心未知（</t>
    </r>
    <r>
      <rPr>
        <sz val="11"/>
        <color theme="1"/>
        <rFont val="Calibri"/>
        <family val="2"/>
        <charset val="1"/>
      </rPr>
      <t xml:space="preserve">B=0</t>
    </r>
    <r>
      <rPr>
        <sz val="11"/>
        <color theme="1"/>
        <rFont val="Noto Sans CJK SC"/>
        <family val="2"/>
      </rPr>
      <t xml:space="preserve">）相区分，判分差异源于</t>
    </r>
    <r>
      <rPr>
        <sz val="11"/>
        <color theme="1"/>
        <rFont val="Calibri"/>
        <family val="2"/>
        <charset val="1"/>
      </rPr>
      <t xml:space="preserve">G04</t>
    </r>
    <r>
      <rPr>
        <sz val="11"/>
        <color theme="1"/>
        <rFont val="Noto Sans CJK SC"/>
        <family val="2"/>
      </rPr>
      <t xml:space="preserve">口径。【口径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C=0</t>
    </r>
    <r>
      <rPr>
        <sz val="11"/>
        <color theme="1"/>
        <rFont val="Noto Sans CJK SC"/>
        <family val="2"/>
      </rPr>
      <t xml:space="preserve">（上一版误计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，本次更正）。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</si>
  <si>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研发投入</t>
    </r>
    <r>
      <rPr>
        <sz val="11"/>
        <color theme="1"/>
        <rFont val="Calibri"/>
        <family val="2"/>
        <charset val="1"/>
      </rPr>
      <t xml:space="preserve">475,923,455.10</t>
    </r>
    <r>
      <rPr>
        <sz val="11"/>
        <color theme="1"/>
        <rFont val="Noto Sans CJK SC"/>
        <family val="2"/>
      </rPr>
      <t xml:space="preserve">元、占营收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、与上年持平、研发人员</t>
    </r>
    <r>
      <rPr>
        <sz val="11"/>
        <color theme="1"/>
        <rFont val="Calibri"/>
        <family val="2"/>
        <charset val="1"/>
      </rPr>
      <t xml:space="preserve">1,387</t>
    </r>
    <r>
      <rPr>
        <sz val="11"/>
        <color theme="1"/>
        <rFont val="Noto Sans CJK SC"/>
        <family val="2"/>
      </rPr>
      <t xml:space="preserve">人占</t>
    </r>
    <r>
      <rPr>
        <sz val="11"/>
        <color theme="1"/>
        <rFont val="Calibri"/>
        <family val="2"/>
        <charset val="1"/>
      </rPr>
      <t xml:space="preserve">12.91%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引用到位。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覆盖投入规模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精确金额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Noto Sans CJK SC"/>
        <family val="2"/>
      </rPr>
      <t xml:space="preserve">趋势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人员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方向，并正确处理三项边界：同行</t>
    </r>
    <r>
      <rPr>
        <sz val="11"/>
        <color theme="1"/>
        <rFont val="Calibri"/>
        <family val="2"/>
        <charset val="1"/>
      </rPr>
      <t xml:space="preserve">3%+</t>
    </r>
    <r>
      <rPr>
        <sz val="11"/>
        <color theme="1"/>
        <rFont val="Noto Sans CJK SC"/>
        <family val="2"/>
      </rPr>
      <t xml:space="preserve">前提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证据未提供可比公司数据无法核实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、低投入原因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年报未说明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、竞争力影响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属前瞻判断缺乏证据暂无法回答，</t>
    </r>
    <r>
      <rPr>
        <sz val="11"/>
        <color theme="1"/>
        <rFont val="Calibri"/>
        <family val="2"/>
        <charset val="1"/>
      </rPr>
      <t xml:space="preserve">3/3</t>
    </r>
    <r>
      <rPr>
        <sz val="11"/>
        <color theme="1"/>
        <rFont val="Noto Sans CJK SC"/>
        <family val="2"/>
      </rPr>
      <t xml:space="preserve">完成。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边界处理清晰，无编造。
【口径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与上年持平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紧邻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占营业收入</t>
    </r>
    <r>
      <rPr>
        <sz val="11"/>
        <color theme="1"/>
        <rFont val="Calibri"/>
        <family val="2"/>
        <charset val="1"/>
      </rPr>
      <t xml:space="preserve">2.09%"</t>
    </r>
    <r>
      <rPr>
        <sz val="11"/>
        <color theme="1"/>
        <rFont val="Noto Sans CJK SC"/>
        <family val="2"/>
      </rPr>
      <t xml:space="preserve">，按就近原则判为占比持平（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变动</t>
    </r>
    <r>
      <rPr>
        <sz val="11"/>
        <color theme="1"/>
        <rFont val="Calibri"/>
        <family val="2"/>
        <charset val="1"/>
      </rPr>
      <t xml:space="preserve">0.00%</t>
    </r>
    <r>
      <rPr>
        <sz val="11"/>
        <color theme="1"/>
        <rFont val="Noto Sans CJK SC"/>
        <family val="2"/>
      </rPr>
      <t xml:space="preserve">），与金额同比</t>
    </r>
    <r>
      <rPr>
        <sz val="11"/>
        <color theme="1"/>
        <rFont val="Calibri"/>
        <family val="2"/>
        <charset val="1"/>
      </rPr>
      <t xml:space="preserve">+1.33%</t>
    </r>
    <r>
      <rPr>
        <sz val="11"/>
        <color theme="1"/>
        <rFont val="Noto Sans CJK SC"/>
        <family val="2"/>
      </rPr>
      <t xml:space="preserve">不冲突，</t>
    </r>
    <r>
      <rPr>
        <sz val="11"/>
        <color theme="1"/>
        <rFont val="Calibri"/>
        <family val="2"/>
        <charset val="1"/>
      </rPr>
      <t xml:space="preserve">F=2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</si>
  <si>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研发费用占营收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、资本化率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引用到位。关键错误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是：①接受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同行比例较高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为已证事实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证据未提供同行数据，提问前提不可采信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；②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凭借对用户体验的极致关注及成熟的供应链体系保持了竞争优势</t>
    </r>
    <r>
      <rPr>
        <sz val="11"/>
        <color theme="1"/>
        <rFont val="Calibri"/>
        <family val="2"/>
        <charset val="1"/>
      </rPr>
      <t xml:space="preserve">''</t>
    </r>
    <r>
      <rPr>
        <sz val="11"/>
        <color theme="1"/>
        <rFont val="Noto Sans CJK SC"/>
        <family val="2"/>
      </rPr>
      <t xml:space="preserve">低占比是商业模式差异所致</t>
    </r>
    <r>
      <rPr>
        <sz val="11"/>
        <color theme="1"/>
        <rFont val="Calibri"/>
        <family val="2"/>
        <charset val="1"/>
      </rPr>
      <t xml:space="preserve">''</t>
    </r>
    <r>
      <rPr>
        <sz val="11"/>
        <color theme="1"/>
        <rFont val="Noto Sans CJK SC"/>
        <family val="2"/>
      </rPr>
      <t xml:space="preserve">旨在平衡创新效率与股东回报</t>
    </r>
    <r>
      <rPr>
        <sz val="11"/>
        <color theme="1"/>
        <rFont val="Calibri"/>
        <family val="2"/>
        <charset val="1"/>
      </rPr>
      <t xml:space="preserve">''</t>
    </r>
    <r>
      <rPr>
        <sz val="11"/>
        <color theme="1"/>
        <rFont val="Noto Sans CJK SC"/>
        <family val="2"/>
      </rPr>
      <t xml:space="preserve">未损害长期竞争力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均为无依据断言，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无此表述——直接对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是否损害竞争力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给出肯定结论。</t>
    </r>
    <r>
      <rPr>
        <sz val="11"/>
        <color theme="1"/>
        <rFont val="Calibri"/>
        <family val="2"/>
        <charset val="1"/>
      </rPr>
      <t xml:space="preserve">B=0(</t>
    </r>
    <r>
      <rPr>
        <sz val="11"/>
        <color theme="1"/>
        <rFont val="Noto Sans CJK SC"/>
        <family val="2"/>
      </rPr>
      <t xml:space="preserve">添加关键无依据断言、采信提问前提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仅完成占比与研发方向，未知部分被编造填充，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。无依据回答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是。
【口径</t>
    </r>
    <r>
      <rPr>
        <sz val="11"/>
        <color theme="1"/>
        <rFont val="Calibri"/>
        <family val="2"/>
        <charset val="1"/>
      </rPr>
      <t xml:space="preserve">G06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E=2</t>
    </r>
    <r>
      <rPr>
        <sz val="11"/>
        <color theme="1"/>
        <rFont val="Noto Sans CJK SC"/>
        <family val="2"/>
      </rPr>
      <t xml:space="preserve">仅指事实性数字（研发费用占营收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、资本化率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）引用到位；</t>
    </r>
    <r>
      <rPr>
        <sz val="11"/>
        <color theme="1"/>
        <rFont val="Calibri"/>
        <family val="2"/>
        <charset val="1"/>
      </rPr>
      <t xml:space="preserve">[SP_AR_p016]</t>
    </r>
    <r>
      <rPr>
        <sz val="11"/>
        <color theme="1"/>
        <rFont val="Noto Sans CJK SC"/>
        <family val="2"/>
      </rPr>
      <t xml:space="preserve">被延伸至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通过精准投入提升附加值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保持了竞争优势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等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不支持的表述，该部分按</t>
    </r>
    <r>
      <rPr>
        <sz val="11"/>
        <color theme="1"/>
        <rFont val="Calibri"/>
        <family val="2"/>
        <charset val="1"/>
      </rPr>
      <t xml:space="preserve">B=0</t>
    </r>
    <r>
      <rPr>
        <sz val="11"/>
        <color theme="1"/>
        <rFont val="Noto Sans CJK SC"/>
        <family val="2"/>
      </rPr>
      <t xml:space="preserve">与关键错误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是记录，不在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重复扣分（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条）。【口径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C=0</t>
    </r>
    <r>
      <rPr>
        <sz val="11"/>
        <color theme="1"/>
        <rFont val="Noto Sans CJK SC"/>
        <family val="2"/>
      </rPr>
      <t xml:space="preserve">（上一版误计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，本次更正）。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</si>
  <si>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、炊具营收</t>
    </r>
    <r>
      <rPr>
        <sz val="11"/>
        <color theme="1"/>
        <rFont val="Calibri"/>
        <family val="2"/>
        <charset val="1"/>
      </rPr>
      <t xml:space="preserve">+1.89%</t>
    </r>
    <r>
      <rPr>
        <sz val="11"/>
        <color theme="1"/>
        <rFont val="Noto Sans CJK SC"/>
        <family val="2"/>
      </rPr>
      <t xml:space="preserve">、外销</t>
    </r>
    <r>
      <rPr>
        <sz val="11"/>
        <color theme="1"/>
        <rFont val="Calibri"/>
        <family val="2"/>
        <charset val="1"/>
      </rPr>
      <t xml:space="preserve">-0.85%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SEB</t>
    </r>
    <r>
      <rPr>
        <sz val="11"/>
        <color theme="1"/>
        <rFont val="Noto Sans CJK SC"/>
        <family val="2"/>
      </rPr>
      <t xml:space="preserve">外销客户需求略减、食物料理电器</t>
    </r>
    <r>
      <rPr>
        <sz val="11"/>
        <color theme="1"/>
        <rFont val="Calibri"/>
        <family val="2"/>
        <charset val="1"/>
      </rPr>
      <t xml:space="preserve">-1.64%(p12)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引用页码支持。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Noto Sans CJK SC"/>
        <family val="2"/>
      </rPr>
      <t xml:space="preserve">量收事实、</t>
    </r>
    <r>
      <rPr>
        <sz val="11"/>
        <color theme="1"/>
        <rFont val="Calibri"/>
        <family val="2"/>
        <charset val="1"/>
      </rPr>
      <t xml:space="preserve">(3)</t>
    </r>
    <r>
      <rPr>
        <sz val="11"/>
        <color theme="1"/>
        <rFont val="Noto Sans CJK SC"/>
        <family val="2"/>
      </rPr>
      <t xml:space="preserve">边界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外销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食物料理作背景、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非单一因素</t>
    </r>
    <r>
      <rPr>
        <sz val="11"/>
        <color theme="1"/>
        <rFont val="Calibri"/>
        <family val="2"/>
        <charset val="1"/>
      </rPr>
      <t xml:space="preserve">')</t>
    </r>
    <r>
      <rPr>
        <sz val="11"/>
        <color theme="1"/>
        <rFont val="Noto Sans CJK SC"/>
        <family val="2"/>
      </rPr>
      <t xml:space="preserve">，但缺</t>
    </r>
    <r>
      <rPr>
        <sz val="11"/>
        <color theme="1"/>
        <rFont val="Calibri"/>
        <family val="2"/>
        <charset val="1"/>
      </rPr>
      <t xml:space="preserve">(2)</t>
    </r>
    <r>
      <rPr>
        <sz val="11"/>
        <color theme="1"/>
        <rFont val="Noto Sans CJK SC"/>
        <family val="2"/>
      </rPr>
      <t xml:space="preserve">类别均价近似计算的具体数值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、约</t>
    </r>
    <r>
      <rPr>
        <sz val="11"/>
        <color theme="1"/>
        <rFont val="Calibri"/>
        <family val="2"/>
        <charset val="1"/>
      </rPr>
      <t xml:space="preserve">-5.74%)</t>
    </r>
    <r>
      <rPr>
        <sz val="11"/>
        <color theme="1"/>
        <rFont val="Noto Sans CJK SC"/>
        <family val="2"/>
      </rPr>
      <t xml:space="preserve">，仅定性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单价确有下行压力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并标注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无法量化降幅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，核心计算未完成，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明确区分推断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Noto Sans CJK SC"/>
        <family val="2"/>
      </rPr>
      <t xml:space="preserve">下行压力</t>
    </r>
    <r>
      <rPr>
        <sz val="11"/>
        <color theme="1"/>
        <rFont val="Calibri"/>
        <family val="2"/>
        <charset val="1"/>
      </rPr>
      <t xml:space="preserve">')</t>
    </r>
    <r>
      <rPr>
        <sz val="11"/>
        <color theme="1"/>
        <rFont val="Noto Sans CJK SC"/>
        <family val="2"/>
      </rPr>
      <t xml:space="preserve">与事实，标注量化缺口。
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；合格要求</t>
    </r>
    <r>
      <rPr>
        <sz val="11"/>
        <color theme="1"/>
        <rFont val="Calibri"/>
        <family val="2"/>
        <charset val="1"/>
      </rPr>
      <t xml:space="preserve">C=2</t>
    </r>
    <r>
      <rPr>
        <sz val="11"/>
        <color theme="1"/>
        <rFont val="Noto Sans CJK SC"/>
        <family val="2"/>
      </rPr>
      <t xml:space="preserve">，故不影响不合格结论。缺项为类别均价近似测算的具体数值（约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台、约</t>
    </r>
    <r>
      <rPr>
        <sz val="11"/>
        <color theme="1"/>
        <rFont val="Calibri"/>
        <family val="2"/>
        <charset val="1"/>
      </rPr>
      <t xml:space="preserve">-5.74%</t>
    </r>
    <r>
      <rPr>
        <sz val="11"/>
        <color theme="1"/>
        <rFont val="Noto Sans CJK SC"/>
        <family val="2"/>
      </rPr>
      <t xml:space="preserve">）。</t>
    </r>
  </si>
  <si>
    <t xml:space="preserve">对象</t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</si>
  <si>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口径</t>
    </r>
  </si>
  <si>
    <t xml:space="preserve">核对意见</t>
  </si>
  <si>
    <t xml:space="preserve">处理</t>
  </si>
  <si>
    <t xml:space="preserve">G01/G02</t>
  </si>
  <si>
    <r>
      <rPr>
        <sz val="11"/>
        <color theme="1"/>
        <rFont val="Calibri"/>
        <family val="2"/>
        <charset val="1"/>
      </rPr>
      <t xml:space="preserve">3/3→2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2/3→1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1/3→0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0/3</t>
    </r>
    <r>
      <rPr>
        <sz val="11"/>
        <color theme="1"/>
        <rFont val="Noto Sans CJK SC"/>
        <family val="2"/>
      </rPr>
      <t xml:space="preserve">无档位</t>
    </r>
  </si>
  <si>
    <r>
      <rPr>
        <sz val="11"/>
        <color theme="1"/>
        <rFont val="Calibri"/>
        <family val="2"/>
        <charset val="1"/>
      </rPr>
      <t xml:space="preserve">v11</t>
    </r>
    <r>
      <rPr>
        <sz val="11"/>
        <color theme="1"/>
        <rFont val="Noto Sans CJK SC"/>
        <family val="2"/>
      </rPr>
      <t xml:space="preserve">既有规则：完整</t>
    </r>
    <r>
      <rPr>
        <sz val="11"/>
        <color theme="1"/>
        <rFont val="Calibri"/>
        <family val="2"/>
        <charset val="1"/>
      </rPr>
      <t xml:space="preserve">=2</t>
    </r>
    <r>
      <rPr>
        <sz val="11"/>
        <color theme="1"/>
        <rFont val="Noto Sans CJK SC"/>
        <family val="2"/>
      </rPr>
      <t xml:space="preserve">，部分</t>
    </r>
    <r>
      <rPr>
        <sz val="11"/>
        <color theme="1"/>
        <rFont val="Calibri"/>
        <family val="2"/>
        <charset val="1"/>
      </rPr>
      <t xml:space="preserve">=1</t>
    </r>
    <r>
      <rPr>
        <sz val="11"/>
        <color theme="1"/>
        <rFont val="Noto Sans CJK SC"/>
        <family val="2"/>
      </rPr>
      <t xml:space="preserve">，无可答核心完成</t>
    </r>
    <r>
      <rPr>
        <sz val="11"/>
        <color theme="1"/>
        <rFont val="Calibri"/>
        <family val="2"/>
        <charset val="1"/>
      </rPr>
      <t xml:space="preserve">=0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均属部分</t>
    </r>
  </si>
  <si>
    <t xml:space="preserve">保留D原分；若统一须映射1/3→1、0/3→0，不发明负分。当前合格名单不变。</t>
  </si>
  <si>
    <t xml:space="preserve">G03</t>
  </si>
  <si>
    <r>
      <rPr>
        <sz val="11"/>
        <color theme="1"/>
        <rFont val="Calibri"/>
        <family val="2"/>
        <charset val="1"/>
      </rPr>
      <t xml:space="preserve">P-A07</t>
    </r>
    <r>
      <rPr>
        <sz val="11"/>
        <color theme="1"/>
        <rFont val="Noto Sans CJK SC"/>
        <family val="2"/>
      </rPr>
      <t xml:space="preserve">另把研发方向设为一组核心</t>
    </r>
  </si>
  <si>
    <t xml:space="preserve">与A三组（自身数据/同行前提/竞争边界）不同</t>
  </si>
  <si>
    <t xml:space="preserve">覆盖计数含义不同，不把相同分母3当相同指标；本批门槛一致不证明定义一致。</t>
  </si>
  <si>
    <t xml:space="preserve">G06</t>
  </si>
  <si>
    <t xml:space="preserve">引用覆盖数字即E=2，无依据评价只扣B</t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</si>
  <si>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应检验关键陈述是否被支持，不仅检查数字；维度不加总，不需要防止同一问题影响多维</t>
    </r>
  </si>
  <si>
    <t xml:space="preserve">保留D的E=2与助手E=0并列，未取得细项共识。</t>
  </si>
  <si>
    <r>
      <rPr>
        <sz val="11"/>
        <color theme="1"/>
        <rFont val="Calibri"/>
        <family val="2"/>
        <charset val="1"/>
      </rPr>
      <t xml:space="preserve">G04</t>
    </r>
    <r>
      <rPr>
        <sz val="11"/>
        <color theme="1"/>
        <rFont val="Noto Sans CJK SC"/>
        <family val="2"/>
      </rPr>
      <t xml:space="preserve">及</t>
    </r>
    <r>
      <rPr>
        <sz val="11"/>
        <color theme="1"/>
        <rFont val="Calibri"/>
        <family val="2"/>
        <charset val="1"/>
      </rPr>
      <t xml:space="preserve">CAL04</t>
    </r>
  </si>
  <si>
    <t xml:space="preserve">错误因果但留部分边界意识→B=1</t>
  </si>
  <si>
    <t xml:space="preserve">助手将关键无依据因果确定化→B=0</t>
  </si>
  <si>
    <t xml:space="preserve">两者均关键错误=是，不影响不合格；严重程度不同。</t>
  </si>
  <si>
    <t xml:space="preserve">CAL05</t>
  </si>
  <si>
    <t xml:space="preserve">过度拒答=是，覆盖1/3；泛化收尾不计事实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</si>
  <si>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辅助沿用否、覆盖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；收尾需按内容核查</t>
    </r>
  </si>
  <si>
    <t xml:space="preserve">暂并列，不声称已经统一过度拒答率；标注口径范围0/8至1/8，非置信区间。</t>
  </si>
  <si>
    <t xml:space="preserve">R01—05/E01—07</t>
  </si>
  <si>
    <t xml:space="preserve">新07/08表全部填同意；旧04表仍保留原意见</t>
  </si>
  <si>
    <t xml:space="preserve">按新回复登记D已接受建议；不把旧意见当最终同意，也不称正式事前冻结</t>
  </si>
  <si>
    <t xml:space="preserve">保留历史，继续修正规则。</t>
  </si>
  <si>
    <t xml:space="preserve">敏感性结论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</si>
  <si>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说均值核心被否只会单向下修</t>
    </r>
  </si>
  <si>
    <t xml:space="preserve">改变核心定义可能双向影响，不能据主观概率宣称只会下修</t>
  </si>
  <si>
    <t xml:space="preserve">保留原话作意见；报告不采用这一未经验证的方向断言。</t>
  </si>
  <si>
    <t xml:space="preserve">数值或公式</t>
  </si>
  <si>
    <t xml:space="preserve">口径</t>
  </si>
  <si>
    <t xml:space="preserve">输出数</t>
  </si>
  <si>
    <t xml:space="preserve">只有两道独立问题</t>
  </si>
  <si>
    <t xml:space="preserve">首次A通过数</t>
  </si>
  <si>
    <t xml:space="preserve">原评分留存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</si>
  <si>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通过数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</si>
  <si>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两份文件一致</t>
    </r>
  </si>
  <si>
    <t xml:space="preserve">首次A与D一致数</t>
  </si>
  <si>
    <t xml:space="preserve">仅CAL01、03、06</t>
  </si>
  <si>
    <t xml:space="preserve">首次门槛一致率</t>
  </si>
  <si>
    <t xml:space="preserve">描述性；不同细则</t>
  </si>
  <si>
    <t xml:space="preserve">机会一致率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</si>
  <si>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首次全部同类</t>
    </r>
  </si>
  <si>
    <t xml:space="preserve">描述性kappa</t>
  </si>
  <si>
    <t xml:space="preserve">非正式共同规则信度检验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</si>
  <si>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参考费用合计</t>
    </r>
  </si>
  <si>
    <t xml:space="preserve">元，非实付</t>
  </si>
  <si>
    <t xml:space="preserve">当前共同门槛合格数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</si>
  <si>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校准后与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共同通过；未统一细项</t>
    </r>
  </si>
  <si>
    <t xml:space="preserve">合格草稿单位API参考成本</t>
  </si>
  <si>
    <t xml:space="preserve">仅本批；不含准备、人工和部署</t>
  </si>
  <si>
    <t xml:space="preserve">平均生成API参考费用</t>
  </si>
  <si>
    <t xml:space="preserve">元/次</t>
  </si>
  <si>
    <t xml:space="preserve">两单位成本之比</t>
  </si>
  <si>
    <t xml:space="preserve">分母改变，非模型改善</t>
  </si>
  <si>
    <t xml:space="preserve">校准后门槛一致数</t>
  </si>
  <si>
    <t xml:space="preserve">非首次独立一致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</si>
  <si>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过度拒答标记数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</si>
  <si>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辅助视图过度拒答标记数</t>
    </r>
  </si>
  <si>
    <t xml:space="preserve">两口径并列，非置信区间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</si>
</sst>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0"/>
    <numFmt numFmtId="166" formatCode="0.00%"/>
    <numFmt numFmtId="167" formatCode="0.0000%"/>
    <numFmt numFmtId="168" formatCode="0.00000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0"/>
      <color rgb="FF111111"/>
      <name val="Noto Sans CJK SC"/>
      <family val="2"/>
      <charset val="1"/>
    </font>
    <font>
      <sz val="10"/>
      <color rgb="FF111111"/>
      <name val="宋体"/>
      <family val="0"/>
      <charset val="1"/>
    </font>
    <font>
      <sz val="10"/>
      <color rgb="FF24576B"/>
      <name val="宋体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sz val="11"/>
      <color theme="1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4576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457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2457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48"/>
    <col collapsed="false" customWidth="true" hidden="false" outlineLevel="0" max="3" min="3" style="1" width="70"/>
  </cols>
  <sheetData>
    <row r="1" customFormat="false" ht="31.5" hidden="false" customHeight="true" outlineLevel="0" collapsed="false">
      <c r="A1" s="2" t="s">
        <v>0</v>
      </c>
      <c r="B1" s="2" t="s">
        <v>1</v>
      </c>
    </row>
    <row r="2" customFormat="false" ht="42" hidden="false" customHeight="true" outlineLevel="0" collapsed="false">
      <c r="A2" s="3" t="s">
        <v>2</v>
      </c>
      <c r="B2" s="4" t="s">
        <v>3</v>
      </c>
    </row>
    <row r="3" customFormat="false" ht="42" hidden="false" customHeight="true" outlineLevel="0" collapsed="false">
      <c r="A3" s="3" t="s">
        <v>4</v>
      </c>
      <c r="B3" s="3" t="s">
        <v>5</v>
      </c>
    </row>
    <row r="4" customFormat="false" ht="42" hidden="false" customHeight="true" outlineLevel="0" collapsed="false">
      <c r="A4" s="3" t="s">
        <v>6</v>
      </c>
      <c r="B4" s="3" t="s">
        <v>7</v>
      </c>
    </row>
    <row r="5" customFormat="false" ht="42" hidden="false" customHeight="true" outlineLevel="0" collapsed="false">
      <c r="A5" s="3" t="s">
        <v>8</v>
      </c>
      <c r="B5" s="3" t="s">
        <v>9</v>
      </c>
    </row>
    <row r="6" customFormat="false" ht="42" hidden="false" customHeight="true" outlineLevel="0" collapsed="false">
      <c r="A6" s="3" t="s">
        <v>10</v>
      </c>
      <c r="B6" s="3" t="s">
        <v>11</v>
      </c>
    </row>
    <row r="7" customFormat="false" ht="42" hidden="false" customHeight="true" outlineLevel="0" collapsed="false">
      <c r="A7" s="3" t="s">
        <v>12</v>
      </c>
      <c r="B7" s="4" t="s">
        <v>13</v>
      </c>
    </row>
    <row r="8" customFormat="false" ht="42" hidden="false" customHeight="true" outlineLevel="0" collapsed="false">
      <c r="A8" s="3" t="s">
        <v>14</v>
      </c>
      <c r="B8" s="4" t="s">
        <v>15</v>
      </c>
    </row>
    <row r="9" customFormat="false" ht="42" hidden="false" customHeight="true" outlineLevel="0" collapsed="false">
      <c r="A9" s="3" t="s">
        <v>16</v>
      </c>
      <c r="B9" s="4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5" min="1" style="1" width="21"/>
  </cols>
  <sheetData>
    <row r="1" customFormat="false" ht="31.5" hidden="false" customHeight="true" outlineLevel="0" collapsed="false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customFormat="false" ht="42" hidden="false" customHeight="true" outlineLevel="0" collapsed="false">
      <c r="A2" s="4" t="s">
        <v>33</v>
      </c>
      <c r="B2" s="4" t="s">
        <v>34</v>
      </c>
      <c r="C2" s="3" t="s">
        <v>35</v>
      </c>
      <c r="D2" s="4" t="s">
        <v>36</v>
      </c>
      <c r="E2" s="5" t="n">
        <v>1339</v>
      </c>
      <c r="F2" s="5" t="n">
        <v>276</v>
      </c>
      <c r="G2" s="5" t="n">
        <v>0.2</v>
      </c>
      <c r="H2" s="5" t="n">
        <v>0.8</v>
      </c>
      <c r="I2" s="6" t="n">
        <f aca="false">(E2*G2+F2*H2)/1000000</f>
        <v>0.0004886</v>
      </c>
      <c r="J2" s="7" t="n">
        <v>0.0004886</v>
      </c>
      <c r="K2" s="6" t="n">
        <f aca="false">I2-J2</f>
        <v>0</v>
      </c>
      <c r="L2" s="5" t="n">
        <v>0</v>
      </c>
      <c r="M2" s="4" t="s">
        <v>37</v>
      </c>
      <c r="N2" s="3"/>
      <c r="O2" s="3" t="s">
        <v>38</v>
      </c>
    </row>
    <row r="3" customFormat="false" ht="42" hidden="false" customHeight="true" outlineLevel="0" collapsed="false">
      <c r="A3" s="4" t="s">
        <v>39</v>
      </c>
      <c r="B3" s="4" t="s">
        <v>40</v>
      </c>
      <c r="C3" s="4" t="s">
        <v>41</v>
      </c>
      <c r="D3" s="4" t="s">
        <v>36</v>
      </c>
      <c r="E3" s="5" t="n">
        <v>3737</v>
      </c>
      <c r="F3" s="5" t="n">
        <v>229</v>
      </c>
      <c r="G3" s="5" t="n">
        <v>1</v>
      </c>
      <c r="H3" s="5" t="n">
        <v>4</v>
      </c>
      <c r="I3" s="6" t="n">
        <f aca="false">(E3*G3+F3*H3)/1000000</f>
        <v>0.004653</v>
      </c>
      <c r="J3" s="7" t="n">
        <v>0.004653</v>
      </c>
      <c r="K3" s="6" t="n">
        <f aca="false">I3-J3</f>
        <v>0</v>
      </c>
      <c r="L3" s="5" t="n">
        <v>0</v>
      </c>
      <c r="M3" s="4" t="s">
        <v>42</v>
      </c>
      <c r="N3" s="3"/>
      <c r="O3" s="3" t="s">
        <v>38</v>
      </c>
    </row>
    <row r="4" customFormat="false" ht="42" hidden="false" customHeight="true" outlineLevel="0" collapsed="false">
      <c r="A4" s="4" t="s">
        <v>43</v>
      </c>
      <c r="B4" s="4" t="s">
        <v>34</v>
      </c>
      <c r="C4" s="4" t="s">
        <v>41</v>
      </c>
      <c r="D4" s="4" t="s">
        <v>44</v>
      </c>
      <c r="E4" s="5" t="n">
        <v>1104</v>
      </c>
      <c r="F4" s="5" t="n">
        <v>123</v>
      </c>
      <c r="G4" s="5" t="n">
        <v>1</v>
      </c>
      <c r="H4" s="5" t="n">
        <v>4</v>
      </c>
      <c r="I4" s="6" t="n">
        <f aca="false">(E4*G4+F4*H4)/1000000</f>
        <v>0.001596</v>
      </c>
      <c r="J4" s="7" t="n">
        <v>0.001596</v>
      </c>
      <c r="K4" s="6" t="n">
        <f aca="false">I4-J4</f>
        <v>0</v>
      </c>
      <c r="L4" s="5" t="n">
        <v>0</v>
      </c>
      <c r="M4" s="4" t="s">
        <v>45</v>
      </c>
      <c r="N4" s="3"/>
      <c r="O4" s="3" t="s">
        <v>38</v>
      </c>
    </row>
    <row r="5" customFormat="false" ht="42" hidden="false" customHeight="true" outlineLevel="0" collapsed="false">
      <c r="A5" s="4" t="s">
        <v>46</v>
      </c>
      <c r="B5" s="4" t="s">
        <v>40</v>
      </c>
      <c r="C5" s="3" t="s">
        <v>35</v>
      </c>
      <c r="D5" s="4" t="s">
        <v>44</v>
      </c>
      <c r="E5" s="5" t="n">
        <v>4530</v>
      </c>
      <c r="F5" s="5" t="n">
        <v>192</v>
      </c>
      <c r="G5" s="5" t="n">
        <v>0.2</v>
      </c>
      <c r="H5" s="5" t="n">
        <v>0.8</v>
      </c>
      <c r="I5" s="6" t="n">
        <f aca="false">(E5*G5+F5*H5)/1000000</f>
        <v>0.0010596</v>
      </c>
      <c r="J5" s="7" t="n">
        <v>0.0010596</v>
      </c>
      <c r="K5" s="6" t="n">
        <f aca="false">I5-J5</f>
        <v>0</v>
      </c>
      <c r="L5" s="5" t="n">
        <v>0</v>
      </c>
      <c r="M5" s="4" t="s">
        <v>47</v>
      </c>
      <c r="N5" s="3"/>
      <c r="O5" s="3" t="s">
        <v>38</v>
      </c>
    </row>
    <row r="6" customFormat="false" ht="42" hidden="false" customHeight="true" outlineLevel="0" collapsed="false">
      <c r="A6" s="4" t="s">
        <v>48</v>
      </c>
      <c r="B6" s="4" t="s">
        <v>40</v>
      </c>
      <c r="C6" s="3" t="s">
        <v>35</v>
      </c>
      <c r="D6" s="4" t="s">
        <v>36</v>
      </c>
      <c r="E6" s="5" t="n">
        <v>4577</v>
      </c>
      <c r="F6" s="5" t="n">
        <v>296</v>
      </c>
      <c r="G6" s="5" t="n">
        <v>0.2</v>
      </c>
      <c r="H6" s="5" t="n">
        <v>0.8</v>
      </c>
      <c r="I6" s="6" t="n">
        <f aca="false">(E6*G6+F6*H6)/1000000</f>
        <v>0.0011522</v>
      </c>
      <c r="J6" s="7" t="n">
        <v>0.0011522</v>
      </c>
      <c r="K6" s="6" t="n">
        <f aca="false">I6-J6</f>
        <v>0</v>
      </c>
      <c r="L6" s="5" t="n">
        <v>0</v>
      </c>
      <c r="M6" s="4" t="s">
        <v>49</v>
      </c>
      <c r="N6" s="3"/>
      <c r="O6" s="3" t="s">
        <v>38</v>
      </c>
    </row>
    <row r="7" customFormat="false" ht="42" hidden="false" customHeight="true" outlineLevel="0" collapsed="false">
      <c r="A7" s="4" t="s">
        <v>50</v>
      </c>
      <c r="B7" s="4" t="s">
        <v>34</v>
      </c>
      <c r="C7" s="4" t="s">
        <v>41</v>
      </c>
      <c r="D7" s="4" t="s">
        <v>36</v>
      </c>
      <c r="E7" s="5" t="n">
        <v>1152</v>
      </c>
      <c r="F7" s="5" t="n">
        <v>207</v>
      </c>
      <c r="G7" s="5" t="n">
        <v>1</v>
      </c>
      <c r="H7" s="5" t="n">
        <v>4</v>
      </c>
      <c r="I7" s="6" t="n">
        <f aca="false">(E7*G7+F7*H7)/1000000</f>
        <v>0.00198</v>
      </c>
      <c r="J7" s="7" t="n">
        <v>0.00198</v>
      </c>
      <c r="K7" s="6" t="n">
        <f aca="false">I7-J7</f>
        <v>0</v>
      </c>
      <c r="L7" s="5" t="n">
        <v>0</v>
      </c>
      <c r="M7" s="4" t="s">
        <v>51</v>
      </c>
      <c r="N7" s="3"/>
      <c r="O7" s="3" t="s">
        <v>38</v>
      </c>
    </row>
    <row r="8" customFormat="false" ht="42" hidden="false" customHeight="true" outlineLevel="0" collapsed="false">
      <c r="A8" s="4" t="s">
        <v>52</v>
      </c>
      <c r="B8" s="4" t="s">
        <v>34</v>
      </c>
      <c r="C8" s="3" t="s">
        <v>35</v>
      </c>
      <c r="D8" s="4" t="s">
        <v>44</v>
      </c>
      <c r="E8" s="5" t="n">
        <v>1292</v>
      </c>
      <c r="F8" s="5" t="n">
        <v>145</v>
      </c>
      <c r="G8" s="5" t="n">
        <v>0.2</v>
      </c>
      <c r="H8" s="5" t="n">
        <v>0.8</v>
      </c>
      <c r="I8" s="6" t="n">
        <f aca="false">(E8*G8+F8*H8)/1000000</f>
        <v>0.0003744</v>
      </c>
      <c r="J8" s="7" t="n">
        <v>0.0003744</v>
      </c>
      <c r="K8" s="6" t="n">
        <f aca="false">I8-J8</f>
        <v>0</v>
      </c>
      <c r="L8" s="5" t="n">
        <v>0</v>
      </c>
      <c r="M8" s="4" t="s">
        <v>53</v>
      </c>
      <c r="N8" s="3"/>
      <c r="O8" s="3" t="s">
        <v>38</v>
      </c>
    </row>
    <row r="9" customFormat="false" ht="42" hidden="false" customHeight="true" outlineLevel="0" collapsed="false">
      <c r="A9" s="4" t="s">
        <v>54</v>
      </c>
      <c r="B9" s="4" t="s">
        <v>40</v>
      </c>
      <c r="C9" s="4" t="s">
        <v>41</v>
      </c>
      <c r="D9" s="4" t="s">
        <v>44</v>
      </c>
      <c r="E9" s="5" t="n">
        <v>3689</v>
      </c>
      <c r="F9" s="5" t="n">
        <v>150</v>
      </c>
      <c r="G9" s="5" t="n">
        <v>1</v>
      </c>
      <c r="H9" s="5" t="n">
        <v>4</v>
      </c>
      <c r="I9" s="6" t="n">
        <f aca="false">(E9*G9+F9*H9)/1000000</f>
        <v>0.004289</v>
      </c>
      <c r="J9" s="7" t="n">
        <v>0.004289</v>
      </c>
      <c r="K9" s="6" t="n">
        <f aca="false">I9-J9</f>
        <v>0</v>
      </c>
      <c r="L9" s="5" t="n">
        <v>0</v>
      </c>
      <c r="M9" s="4" t="s">
        <v>55</v>
      </c>
      <c r="N9" s="3"/>
      <c r="O9" s="3" t="s">
        <v>38</v>
      </c>
    </row>
    <row r="10" customFormat="false" ht="42" hidden="false" customHeight="true" outlineLevel="0" collapsed="false">
      <c r="A10" s="3" t="s">
        <v>56</v>
      </c>
      <c r="B10" s="3"/>
      <c r="C10" s="3"/>
      <c r="D10" s="3"/>
      <c r="E10" s="3" t="n">
        <f aca="false">SUM(E2:E9)</f>
        <v>21420</v>
      </c>
      <c r="F10" s="3" t="n">
        <f aca="false">SUM(F2:F9)</f>
        <v>1618</v>
      </c>
      <c r="G10" s="3"/>
      <c r="H10" s="3"/>
      <c r="I10" s="6" t="n">
        <f aca="false">SUM(I2:I9)</f>
        <v>0.0155928</v>
      </c>
      <c r="J10" s="6" t="n">
        <f aca="false">SUM(J2:J9)</f>
        <v>0.0155928</v>
      </c>
      <c r="K10" s="6" t="n">
        <f aca="false">SUM(K2:K9)</f>
        <v>0</v>
      </c>
      <c r="L10" s="3" t="n">
        <f aca="false">SUM(L2:L9)</f>
        <v>0</v>
      </c>
      <c r="M10" s="3"/>
      <c r="N10" s="3"/>
      <c r="O10" s="4" t="s">
        <v>57</v>
      </c>
    </row>
  </sheetData>
  <autoFilter ref="A1:O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1"/>
  </cols>
  <sheetData>
    <row r="1" customFormat="false" ht="31.5" hidden="false" customHeight="true" outlineLevel="0" collapsed="false">
      <c r="A1" s="2" t="s">
        <v>20</v>
      </c>
      <c r="B1" s="2" t="s">
        <v>21</v>
      </c>
      <c r="C1" s="2" t="s">
        <v>58</v>
      </c>
      <c r="D1" s="2" t="s">
        <v>22</v>
      </c>
      <c r="E1" s="2" t="s">
        <v>23</v>
      </c>
      <c r="F1" s="2" t="s">
        <v>59</v>
      </c>
      <c r="G1" s="2" t="s">
        <v>60</v>
      </c>
      <c r="H1" s="2" t="s">
        <v>61</v>
      </c>
    </row>
    <row r="2" customFormat="false" ht="42" hidden="false" customHeight="true" outlineLevel="0" collapsed="false">
      <c r="A2" s="4" t="s">
        <v>41</v>
      </c>
      <c r="B2" s="4" t="s">
        <v>44</v>
      </c>
      <c r="C2" s="3" t="n">
        <f aca="false">COUNTIFS('01_逐次费用'!$C$2:$C$9,A2,'01_逐次费用'!$D$2:$D$9,B2)</f>
        <v>2</v>
      </c>
      <c r="D2" s="3" t="n">
        <f aca="false">SUMIFS('01_逐次费用'!$E$2:$E$9,'01_逐次费用'!$C$2:$C$9,A2,'01_逐次费用'!$D$2:$D$9,B2)</f>
        <v>4793</v>
      </c>
      <c r="E2" s="3" t="n">
        <f aca="false">SUMIFS('01_逐次费用'!$F$2:$F$9,'01_逐次费用'!$C$2:$C$9,A2,'01_逐次费用'!$D$2:$D$9,B2)</f>
        <v>273</v>
      </c>
      <c r="F2" s="6" t="n">
        <f aca="false">SUMIFS('01_逐次费用'!$I$2:$I$9,'01_逐次费用'!$C$2:$C$9,A2,'01_逐次费用'!$D$2:$D$9,B2)</f>
        <v>0.005885</v>
      </c>
      <c r="G2" s="6" t="n">
        <f aca="false">F2/C2</f>
        <v>0.0029425</v>
      </c>
      <c r="H2" s="3" t="s">
        <v>62</v>
      </c>
    </row>
    <row r="3" customFormat="false" ht="42" hidden="false" customHeight="true" outlineLevel="0" collapsed="false">
      <c r="A3" s="4" t="s">
        <v>41</v>
      </c>
      <c r="B3" s="4" t="s">
        <v>36</v>
      </c>
      <c r="C3" s="3" t="n">
        <f aca="false">COUNTIFS('01_逐次费用'!$C$2:$C$9,A3,'01_逐次费用'!$D$2:$D$9,B3)</f>
        <v>2</v>
      </c>
      <c r="D3" s="3" t="n">
        <f aca="false">SUMIFS('01_逐次费用'!$E$2:$E$9,'01_逐次费用'!$C$2:$C$9,A3,'01_逐次费用'!$D$2:$D$9,B3)</f>
        <v>4889</v>
      </c>
      <c r="E3" s="3" t="n">
        <f aca="false">SUMIFS('01_逐次费用'!$F$2:$F$9,'01_逐次费用'!$C$2:$C$9,A3,'01_逐次费用'!$D$2:$D$9,B3)</f>
        <v>436</v>
      </c>
      <c r="F3" s="6" t="n">
        <f aca="false">SUMIFS('01_逐次费用'!$I$2:$I$9,'01_逐次费用'!$C$2:$C$9,A3,'01_逐次费用'!$D$2:$D$9,B3)</f>
        <v>0.006633</v>
      </c>
      <c r="G3" s="6" t="n">
        <f aca="false">F3/C3</f>
        <v>0.0033165</v>
      </c>
      <c r="H3" s="3" t="s">
        <v>62</v>
      </c>
    </row>
    <row r="4" customFormat="false" ht="42" hidden="false" customHeight="true" outlineLevel="0" collapsed="false">
      <c r="A4" s="3" t="s">
        <v>35</v>
      </c>
      <c r="B4" s="4" t="s">
        <v>44</v>
      </c>
      <c r="C4" s="3" t="n">
        <f aca="false">COUNTIFS('01_逐次费用'!$C$2:$C$9,A4,'01_逐次费用'!$D$2:$D$9,B4)</f>
        <v>2</v>
      </c>
      <c r="D4" s="3" t="n">
        <f aca="false">SUMIFS('01_逐次费用'!$E$2:$E$9,'01_逐次费用'!$C$2:$C$9,A4,'01_逐次费用'!$D$2:$D$9,B4)</f>
        <v>5822</v>
      </c>
      <c r="E4" s="3" t="n">
        <f aca="false">SUMIFS('01_逐次费用'!$F$2:$F$9,'01_逐次费用'!$C$2:$C$9,A4,'01_逐次费用'!$D$2:$D$9,B4)</f>
        <v>337</v>
      </c>
      <c r="F4" s="6" t="n">
        <f aca="false">SUMIFS('01_逐次费用'!$I$2:$I$9,'01_逐次费用'!$C$2:$C$9,A4,'01_逐次费用'!$D$2:$D$9,B4)</f>
        <v>0.001434</v>
      </c>
      <c r="G4" s="6" t="n">
        <f aca="false">F4/C4</f>
        <v>0.000717</v>
      </c>
      <c r="H4" s="3" t="s">
        <v>62</v>
      </c>
    </row>
    <row r="5" customFormat="false" ht="42" hidden="false" customHeight="true" outlineLevel="0" collapsed="false">
      <c r="A5" s="3" t="s">
        <v>35</v>
      </c>
      <c r="B5" s="4" t="s">
        <v>36</v>
      </c>
      <c r="C5" s="3" t="n">
        <f aca="false">COUNTIFS('01_逐次费用'!$C$2:$C$9,A5,'01_逐次费用'!$D$2:$D$9,B5)</f>
        <v>2</v>
      </c>
      <c r="D5" s="3" t="n">
        <f aca="false">SUMIFS('01_逐次费用'!$E$2:$E$9,'01_逐次费用'!$C$2:$C$9,A5,'01_逐次费用'!$D$2:$D$9,B5)</f>
        <v>5916</v>
      </c>
      <c r="E5" s="3" t="n">
        <f aca="false">SUMIFS('01_逐次费用'!$F$2:$F$9,'01_逐次费用'!$C$2:$C$9,A5,'01_逐次费用'!$D$2:$D$9,B5)</f>
        <v>572</v>
      </c>
      <c r="F5" s="6" t="n">
        <f aca="false">SUMIFS('01_逐次费用'!$I$2:$I$9,'01_逐次费用'!$C$2:$C$9,A5,'01_逐次费用'!$D$2:$D$9,B5)</f>
        <v>0.0016408</v>
      </c>
      <c r="G5" s="6" t="n">
        <f aca="false">F5/C5</f>
        <v>0.0008204</v>
      </c>
      <c r="H5" s="3" t="s">
        <v>62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1" width="21"/>
  </cols>
  <sheetData>
    <row r="1" customFormat="false" ht="31.5" hidden="false" customHeight="true" outlineLevel="0" collapsed="false">
      <c r="A1" s="2" t="s">
        <v>18</v>
      </c>
      <c r="B1" s="2" t="s">
        <v>19</v>
      </c>
      <c r="C1" s="8" t="s">
        <v>63</v>
      </c>
      <c r="D1" s="8" t="s">
        <v>64</v>
      </c>
      <c r="E1" s="8" t="s">
        <v>65</v>
      </c>
      <c r="F1" s="8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8" t="s">
        <v>71</v>
      </c>
      <c r="L1" s="2" t="s">
        <v>72</v>
      </c>
    </row>
    <row r="2" customFormat="false" ht="42" hidden="false" customHeight="true" outlineLevel="0" collapsed="false">
      <c r="A2" s="4" t="s">
        <v>33</v>
      </c>
      <c r="B2" s="4" t="s">
        <v>34</v>
      </c>
      <c r="C2" s="5" t="n">
        <v>2</v>
      </c>
      <c r="D2" s="5" t="n">
        <v>2</v>
      </c>
      <c r="E2" s="5" t="n">
        <v>2</v>
      </c>
      <c r="F2" s="5" t="n">
        <v>2</v>
      </c>
      <c r="G2" s="3" t="s">
        <v>73</v>
      </c>
      <c r="H2" s="3" t="s">
        <v>73</v>
      </c>
      <c r="I2" s="3" t="s">
        <v>74</v>
      </c>
      <c r="J2" s="3" t="s">
        <v>75</v>
      </c>
      <c r="K2" s="3" t="s">
        <v>74</v>
      </c>
      <c r="L2" s="3" t="str">
        <f aca="false">IF(I2=K2,K2,"分歧")</f>
        <v>通过</v>
      </c>
    </row>
    <row r="3" customFormat="false" ht="42" hidden="false" customHeight="true" outlineLevel="0" collapsed="false">
      <c r="A3" s="4" t="s">
        <v>39</v>
      </c>
      <c r="B3" s="4" t="s">
        <v>40</v>
      </c>
      <c r="C3" s="5" t="n">
        <v>2</v>
      </c>
      <c r="D3" s="5" t="n">
        <v>2</v>
      </c>
      <c r="E3" s="5" t="n">
        <v>1</v>
      </c>
      <c r="F3" s="5" t="n">
        <v>2</v>
      </c>
      <c r="G3" s="3" t="s">
        <v>73</v>
      </c>
      <c r="H3" s="3" t="s">
        <v>73</v>
      </c>
      <c r="I3" s="3" t="s">
        <v>76</v>
      </c>
      <c r="J3" s="3" t="s">
        <v>75</v>
      </c>
      <c r="K3" s="3" t="s">
        <v>76</v>
      </c>
      <c r="L3" s="3" t="str">
        <f aca="false">IF(I3=K3,K3,"分歧")</f>
        <v>未通过</v>
      </c>
    </row>
    <row r="4" customFormat="false" ht="42" hidden="false" customHeight="true" outlineLevel="0" collapsed="false">
      <c r="A4" s="4" t="s">
        <v>43</v>
      </c>
      <c r="B4" s="4" t="s">
        <v>34</v>
      </c>
      <c r="C4" s="5" t="n">
        <v>2</v>
      </c>
      <c r="D4" s="5" t="n">
        <v>2</v>
      </c>
      <c r="E4" s="5" t="n">
        <v>2</v>
      </c>
      <c r="F4" s="5" t="n">
        <v>2</v>
      </c>
      <c r="G4" s="3" t="s">
        <v>73</v>
      </c>
      <c r="H4" s="3" t="s">
        <v>73</v>
      </c>
      <c r="I4" s="3" t="s">
        <v>74</v>
      </c>
      <c r="J4" s="3" t="s">
        <v>75</v>
      </c>
      <c r="K4" s="3" t="s">
        <v>74</v>
      </c>
      <c r="L4" s="3" t="str">
        <f aca="false">IF(I4=K4,K4,"分歧")</f>
        <v>通过</v>
      </c>
    </row>
    <row r="5" customFormat="false" ht="42" hidden="false" customHeight="true" outlineLevel="0" collapsed="false">
      <c r="A5" s="4" t="s">
        <v>46</v>
      </c>
      <c r="B5" s="4" t="s">
        <v>40</v>
      </c>
      <c r="C5" s="5" t="n">
        <v>0</v>
      </c>
      <c r="D5" s="5" t="n">
        <v>0</v>
      </c>
      <c r="E5" s="5" t="n">
        <v>1</v>
      </c>
      <c r="F5" s="5" t="n">
        <v>0</v>
      </c>
      <c r="G5" s="3" t="s">
        <v>77</v>
      </c>
      <c r="H5" s="3" t="s">
        <v>73</v>
      </c>
      <c r="I5" s="3" t="s">
        <v>76</v>
      </c>
      <c r="J5" s="3" t="s">
        <v>78</v>
      </c>
      <c r="K5" s="3" t="s">
        <v>76</v>
      </c>
      <c r="L5" s="3" t="str">
        <f aca="false">IF(I5=K5,K5,"分歧")</f>
        <v>未通过</v>
      </c>
    </row>
    <row r="6" customFormat="false" ht="42" hidden="false" customHeight="true" outlineLevel="0" collapsed="false">
      <c r="A6" s="4" t="s">
        <v>48</v>
      </c>
      <c r="B6" s="4" t="s">
        <v>40</v>
      </c>
      <c r="C6" s="5" t="n">
        <v>2</v>
      </c>
      <c r="D6" s="5" t="n">
        <v>2</v>
      </c>
      <c r="E6" s="5" t="n">
        <v>1</v>
      </c>
      <c r="F6" s="5" t="n">
        <v>2</v>
      </c>
      <c r="G6" s="3" t="s">
        <v>73</v>
      </c>
      <c r="H6" s="3" t="s">
        <v>73</v>
      </c>
      <c r="I6" s="3" t="s">
        <v>76</v>
      </c>
      <c r="J6" s="3" t="s">
        <v>75</v>
      </c>
      <c r="K6" s="3" t="s">
        <v>76</v>
      </c>
      <c r="L6" s="3" t="str">
        <f aca="false">IF(I6=K6,K6,"分歧")</f>
        <v>未通过</v>
      </c>
    </row>
    <row r="7" customFormat="false" ht="42" hidden="false" customHeight="true" outlineLevel="0" collapsed="false">
      <c r="A7" s="4" t="s">
        <v>50</v>
      </c>
      <c r="B7" s="4" t="s">
        <v>34</v>
      </c>
      <c r="C7" s="5" t="n">
        <v>2</v>
      </c>
      <c r="D7" s="5" t="n">
        <v>2</v>
      </c>
      <c r="E7" s="5" t="n">
        <v>2</v>
      </c>
      <c r="F7" s="5" t="n">
        <v>2</v>
      </c>
      <c r="G7" s="3" t="s">
        <v>73</v>
      </c>
      <c r="H7" s="3" t="s">
        <v>73</v>
      </c>
      <c r="I7" s="3" t="s">
        <v>74</v>
      </c>
      <c r="J7" s="3" t="s">
        <v>75</v>
      </c>
      <c r="K7" s="3" t="s">
        <v>74</v>
      </c>
      <c r="L7" s="3" t="str">
        <f aca="false">IF(I7=K7,K7,"分歧")</f>
        <v>通过</v>
      </c>
    </row>
    <row r="8" customFormat="false" ht="42" hidden="false" customHeight="true" outlineLevel="0" collapsed="false">
      <c r="A8" s="4" t="s">
        <v>52</v>
      </c>
      <c r="B8" s="4" t="s">
        <v>34</v>
      </c>
      <c r="C8" s="5" t="n">
        <v>0</v>
      </c>
      <c r="D8" s="5" t="n">
        <v>0</v>
      </c>
      <c r="E8" s="5" t="n">
        <v>1</v>
      </c>
      <c r="F8" s="5" t="n">
        <v>0</v>
      </c>
      <c r="G8" s="3" t="s">
        <v>77</v>
      </c>
      <c r="H8" s="3" t="s">
        <v>73</v>
      </c>
      <c r="I8" s="3" t="s">
        <v>76</v>
      </c>
      <c r="J8" s="3" t="s">
        <v>78</v>
      </c>
      <c r="K8" s="3" t="s">
        <v>76</v>
      </c>
      <c r="L8" s="3" t="str">
        <f aca="false">IF(I8=K8,K8,"分歧")</f>
        <v>未通过</v>
      </c>
    </row>
    <row r="9" customFormat="false" ht="42" hidden="false" customHeight="true" outlineLevel="0" collapsed="false">
      <c r="A9" s="4" t="s">
        <v>54</v>
      </c>
      <c r="B9" s="4" t="s">
        <v>40</v>
      </c>
      <c r="C9" s="5" t="n">
        <v>2</v>
      </c>
      <c r="D9" s="5" t="n">
        <v>2</v>
      </c>
      <c r="E9" s="5" t="n">
        <v>1</v>
      </c>
      <c r="F9" s="5" t="n">
        <v>2</v>
      </c>
      <c r="G9" s="3" t="s">
        <v>73</v>
      </c>
      <c r="H9" s="3" t="s">
        <v>73</v>
      </c>
      <c r="I9" s="3" t="s">
        <v>76</v>
      </c>
      <c r="J9" s="3" t="s">
        <v>75</v>
      </c>
      <c r="K9" s="3" t="s">
        <v>76</v>
      </c>
      <c r="L9" s="3" t="str">
        <f aca="false">IF(I9=K9,K9,"分歧")</f>
        <v>未通过</v>
      </c>
    </row>
  </sheetData>
  <autoFilter ref="A1:L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1"/>
  </cols>
  <sheetData>
    <row r="1" customFormat="false" ht="31.5" hidden="false" customHeight="true" outlineLevel="0" collapsed="false">
      <c r="A1" s="2" t="s">
        <v>79</v>
      </c>
      <c r="B1" s="2" t="s">
        <v>80</v>
      </c>
      <c r="C1" s="2" t="s">
        <v>81</v>
      </c>
      <c r="D1" s="2" t="s">
        <v>82</v>
      </c>
    </row>
    <row r="2" customFormat="false" ht="42" hidden="false" customHeight="true" outlineLevel="0" collapsed="false">
      <c r="A2" s="9" t="n">
        <v>0</v>
      </c>
      <c r="B2" s="9" t="n">
        <v>0.5</v>
      </c>
      <c r="C2" s="10" t="n">
        <f aca="false">A2*B2</f>
        <v>0</v>
      </c>
      <c r="D2" s="3" t="s">
        <v>83</v>
      </c>
    </row>
    <row r="3" customFormat="false" ht="42" hidden="false" customHeight="true" outlineLevel="0" collapsed="false">
      <c r="A3" s="9" t="n">
        <v>0.01</v>
      </c>
      <c r="B3" s="9" t="n">
        <v>0.5</v>
      </c>
      <c r="C3" s="10" t="n">
        <f aca="false">A3*B3</f>
        <v>0.005</v>
      </c>
      <c r="D3" s="3" t="s">
        <v>83</v>
      </c>
    </row>
    <row r="4" customFormat="false" ht="42" hidden="false" customHeight="true" outlineLevel="0" collapsed="false">
      <c r="A4" s="9" t="n">
        <v>0.05</v>
      </c>
      <c r="B4" s="9" t="n">
        <v>0.5</v>
      </c>
      <c r="C4" s="10" t="n">
        <f aca="false">A4*B4</f>
        <v>0.025</v>
      </c>
      <c r="D4" s="3" t="s">
        <v>83</v>
      </c>
    </row>
    <row r="5" customFormat="false" ht="42" hidden="false" customHeight="true" outlineLevel="0" collapsed="false">
      <c r="A5" s="9" t="n">
        <v>0.1</v>
      </c>
      <c r="B5" s="9" t="n">
        <v>0.5</v>
      </c>
      <c r="C5" s="10" t="n">
        <f aca="false">A5*B5</f>
        <v>0.05</v>
      </c>
      <c r="D5" s="3" t="s">
        <v>83</v>
      </c>
    </row>
    <row r="6" customFormat="false" ht="42" hidden="false" customHeight="true" outlineLevel="0" collapsed="false">
      <c r="A6" s="9" t="n">
        <v>0.2</v>
      </c>
      <c r="B6" s="9" t="n">
        <v>0.5</v>
      </c>
      <c r="C6" s="10" t="n">
        <f aca="false">A6*B6</f>
        <v>0.1</v>
      </c>
      <c r="D6" s="3" t="s">
        <v>83</v>
      </c>
    </row>
    <row r="7" customFormat="false" ht="42" hidden="false" customHeight="true" outlineLevel="0" collapsed="false">
      <c r="A7" s="9" t="n">
        <v>0.3</v>
      </c>
      <c r="B7" s="9" t="n">
        <v>0.5</v>
      </c>
      <c r="C7" s="10" t="n">
        <f aca="false">A7*B7</f>
        <v>0.15</v>
      </c>
      <c r="D7" s="3" t="s">
        <v>83</v>
      </c>
    </row>
    <row r="8" customFormat="false" ht="42" hidden="false" customHeight="true" outlineLevel="0" collapsed="false">
      <c r="A8" s="9" t="n">
        <v>0.5</v>
      </c>
      <c r="B8" s="9" t="n">
        <v>0.5</v>
      </c>
      <c r="C8" s="10" t="n">
        <f aca="false">A8*B8</f>
        <v>0.25</v>
      </c>
      <c r="D8" s="3" t="s">
        <v>83</v>
      </c>
    </row>
    <row r="9" customFormat="false" ht="42" hidden="false" customHeight="true" outlineLevel="0" collapsed="false">
      <c r="A9" s="9" t="n">
        <v>0.75</v>
      </c>
      <c r="B9" s="9" t="n">
        <v>0.5</v>
      </c>
      <c r="C9" s="10" t="n">
        <f aca="false">A9*B9</f>
        <v>0.375</v>
      </c>
      <c r="D9" s="3" t="s">
        <v>83</v>
      </c>
    </row>
    <row r="10" customFormat="false" ht="42" hidden="false" customHeight="true" outlineLevel="0" collapsed="false">
      <c r="A10" s="9" t="n">
        <v>1</v>
      </c>
      <c r="B10" s="9" t="n">
        <v>0.5</v>
      </c>
      <c r="C10" s="10" t="n">
        <f aca="false">A10*B10</f>
        <v>0.5</v>
      </c>
      <c r="D10" s="3" t="s">
        <v>83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1"/>
  </cols>
  <sheetData>
    <row r="1" customFormat="false" ht="31.5" hidden="false" customHeight="true" outlineLevel="0" collapsed="false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8" t="s">
        <v>89</v>
      </c>
      <c r="G1" s="2" t="s">
        <v>90</v>
      </c>
      <c r="H1" s="2" t="s">
        <v>1</v>
      </c>
    </row>
    <row r="2" customFormat="false" ht="42" hidden="false" customHeight="true" outlineLevel="0" collapsed="false">
      <c r="A2" s="5" t="n">
        <v>60</v>
      </c>
      <c r="B2" s="5" t="n">
        <v>0</v>
      </c>
      <c r="C2" s="6" t="n">
        <f aca="false">'01_逐次费用'!I10/8</f>
        <v>0.0019491</v>
      </c>
      <c r="D2" s="6" t="n">
        <f aca="false">A2*B2/60</f>
        <v>0</v>
      </c>
      <c r="E2" s="6" t="n">
        <f aca="false">C2+D2</f>
        <v>0.0019491</v>
      </c>
      <c r="F2" s="6" t="n">
        <f aca="false">C2*0.5+D2</f>
        <v>0.00097455</v>
      </c>
      <c r="G2" s="11" t="n">
        <f aca="false">(E2-F2)/E2</f>
        <v>0.5</v>
      </c>
      <c r="H2" s="3" t="s">
        <v>91</v>
      </c>
    </row>
    <row r="3" customFormat="false" ht="42" hidden="false" customHeight="true" outlineLevel="0" collapsed="false">
      <c r="A3" s="5" t="n">
        <v>60</v>
      </c>
      <c r="B3" s="5" t="n">
        <v>1</v>
      </c>
      <c r="C3" s="6" t="n">
        <f aca="false">'01_逐次费用'!I10/8</f>
        <v>0.0019491</v>
      </c>
      <c r="D3" s="6" t="n">
        <f aca="false">A3*B3/60</f>
        <v>1</v>
      </c>
      <c r="E3" s="6" t="n">
        <f aca="false">C3+D3</f>
        <v>1.0019491</v>
      </c>
      <c r="F3" s="6" t="n">
        <f aca="false">C3*0.5+D3</f>
        <v>1.00097455</v>
      </c>
      <c r="G3" s="11" t="n">
        <f aca="false">(E3-F3)/E3</f>
        <v>0.000972654199699384</v>
      </c>
      <c r="H3" s="3" t="s">
        <v>91</v>
      </c>
    </row>
    <row r="4" customFormat="false" ht="42" hidden="false" customHeight="true" outlineLevel="0" collapsed="false">
      <c r="A4" s="5" t="n">
        <v>60</v>
      </c>
      <c r="B4" s="5" t="n">
        <v>3</v>
      </c>
      <c r="C4" s="6" t="n">
        <f aca="false">'01_逐次费用'!I10/8</f>
        <v>0.0019491</v>
      </c>
      <c r="D4" s="6" t="n">
        <f aca="false">A4*B4/60</f>
        <v>3</v>
      </c>
      <c r="E4" s="6" t="n">
        <f aca="false">C4+D4</f>
        <v>3.0019491</v>
      </c>
      <c r="F4" s="6" t="n">
        <f aca="false">C4*0.5+D4</f>
        <v>3.00097455</v>
      </c>
      <c r="G4" s="11" t="n">
        <f aca="false">(E4-F4)/E4</f>
        <v>0.000324639081988438</v>
      </c>
      <c r="H4" s="3" t="s">
        <v>91</v>
      </c>
    </row>
    <row r="5" customFormat="false" ht="42" hidden="false" customHeight="true" outlineLevel="0" collapsed="false">
      <c r="A5" s="5" t="n">
        <v>60</v>
      </c>
      <c r="B5" s="5" t="n">
        <v>5</v>
      </c>
      <c r="C5" s="6" t="n">
        <f aca="false">'01_逐次费用'!I10/8</f>
        <v>0.0019491</v>
      </c>
      <c r="D5" s="6" t="n">
        <f aca="false">A5*B5/60</f>
        <v>5</v>
      </c>
      <c r="E5" s="6" t="n">
        <f aca="false">C5+D5</f>
        <v>5.0019491</v>
      </c>
      <c r="F5" s="6" t="n">
        <f aca="false">C5*0.5+D5</f>
        <v>5.00097455</v>
      </c>
      <c r="G5" s="11" t="n">
        <f aca="false">(E5-F5)/E5</f>
        <v>0.000194834049790803</v>
      </c>
      <c r="H5" s="3" t="s">
        <v>91</v>
      </c>
    </row>
    <row r="6" customFormat="false" ht="42" hidden="false" customHeight="true" outlineLevel="0" collapsed="false">
      <c r="A6" s="5" t="n">
        <v>60</v>
      </c>
      <c r="B6" s="5" t="n">
        <v>10</v>
      </c>
      <c r="C6" s="6" t="n">
        <f aca="false">'01_逐次费用'!I10/8</f>
        <v>0.0019491</v>
      </c>
      <c r="D6" s="6" t="n">
        <f aca="false">A6*B6/60</f>
        <v>10</v>
      </c>
      <c r="E6" s="6" t="n">
        <f aca="false">C6+D6</f>
        <v>10.0019491</v>
      </c>
      <c r="F6" s="6" t="n">
        <f aca="false">C6*0.5+D6</f>
        <v>10.00097455</v>
      </c>
      <c r="G6" s="11" t="n">
        <f aca="false">(E6-F6)/E6</f>
        <v>9.74360087474037E-005</v>
      </c>
      <c r="H6" s="3" t="s">
        <v>91</v>
      </c>
    </row>
    <row r="7" customFormat="false" ht="42" hidden="false" customHeight="true" outlineLevel="0" collapsed="false">
      <c r="A7" s="5" t="n">
        <v>120</v>
      </c>
      <c r="B7" s="5" t="n">
        <v>0</v>
      </c>
      <c r="C7" s="6" t="n">
        <f aca="false">'01_逐次费用'!I10/8</f>
        <v>0.0019491</v>
      </c>
      <c r="D7" s="6" t="n">
        <f aca="false">A7*B7/60</f>
        <v>0</v>
      </c>
      <c r="E7" s="6" t="n">
        <f aca="false">C7+D7</f>
        <v>0.0019491</v>
      </c>
      <c r="F7" s="6" t="n">
        <f aca="false">C7*0.5+D7</f>
        <v>0.00097455</v>
      </c>
      <c r="G7" s="11" t="n">
        <f aca="false">(E7-F7)/E7</f>
        <v>0.5</v>
      </c>
      <c r="H7" s="3" t="s">
        <v>91</v>
      </c>
    </row>
    <row r="8" customFormat="false" ht="42" hidden="false" customHeight="true" outlineLevel="0" collapsed="false">
      <c r="A8" s="5" t="n">
        <v>120</v>
      </c>
      <c r="B8" s="5" t="n">
        <v>1</v>
      </c>
      <c r="C8" s="6" t="n">
        <f aca="false">'01_逐次费用'!I10/8</f>
        <v>0.0019491</v>
      </c>
      <c r="D8" s="6" t="n">
        <f aca="false">A8*B8/60</f>
        <v>2</v>
      </c>
      <c r="E8" s="6" t="n">
        <f aca="false">C8+D8</f>
        <v>2.0019491</v>
      </c>
      <c r="F8" s="6" t="n">
        <f aca="false">C8*0.5+D8</f>
        <v>2.00097455</v>
      </c>
      <c r="G8" s="11" t="n">
        <f aca="false">(E8-F8)/E8</f>
        <v>0.0004868005884865</v>
      </c>
      <c r="H8" s="3" t="s">
        <v>91</v>
      </c>
    </row>
    <row r="9" customFormat="false" ht="42" hidden="false" customHeight="true" outlineLevel="0" collapsed="false">
      <c r="A9" s="5" t="n">
        <v>120</v>
      </c>
      <c r="B9" s="5" t="n">
        <v>3</v>
      </c>
      <c r="C9" s="6" t="n">
        <f aca="false">'01_逐次费用'!I10/8</f>
        <v>0.0019491</v>
      </c>
      <c r="D9" s="6" t="n">
        <f aca="false">A9*B9/60</f>
        <v>6</v>
      </c>
      <c r="E9" s="6" t="n">
        <f aca="false">C9+D9</f>
        <v>6.0019491</v>
      </c>
      <c r="F9" s="6" t="n">
        <f aca="false">C9*0.5+D9</f>
        <v>6.00097455</v>
      </c>
      <c r="G9" s="11" t="n">
        <f aca="false">(E9-F9)/E9</f>
        <v>0.000162372253373569</v>
      </c>
      <c r="H9" s="3" t="s">
        <v>91</v>
      </c>
    </row>
    <row r="10" customFormat="false" ht="42" hidden="false" customHeight="true" outlineLevel="0" collapsed="false">
      <c r="A10" s="5" t="n">
        <v>120</v>
      </c>
      <c r="B10" s="5" t="n">
        <v>5</v>
      </c>
      <c r="C10" s="6" t="n">
        <f aca="false">'01_逐次费用'!I10/8</f>
        <v>0.0019491</v>
      </c>
      <c r="D10" s="6" t="n">
        <f aca="false">A10*B10/60</f>
        <v>10</v>
      </c>
      <c r="E10" s="6" t="n">
        <f aca="false">C10+D10</f>
        <v>10.0019491</v>
      </c>
      <c r="F10" s="6" t="n">
        <f aca="false">C10*0.5+D10</f>
        <v>10.00097455</v>
      </c>
      <c r="G10" s="11" t="n">
        <f aca="false">(E10-F10)/E10</f>
        <v>9.74360087474037E-005</v>
      </c>
      <c r="H10" s="3" t="s">
        <v>91</v>
      </c>
    </row>
    <row r="11" customFormat="false" ht="42" hidden="false" customHeight="true" outlineLevel="0" collapsed="false">
      <c r="A11" s="5" t="n">
        <v>120</v>
      </c>
      <c r="B11" s="5" t="n">
        <v>10</v>
      </c>
      <c r="C11" s="6" t="n">
        <f aca="false">'01_逐次费用'!I10/8</f>
        <v>0.0019491</v>
      </c>
      <c r="D11" s="6" t="n">
        <f aca="false">A11*B11/60</f>
        <v>20</v>
      </c>
      <c r="E11" s="6" t="n">
        <f aca="false">C11+D11</f>
        <v>20.0019491</v>
      </c>
      <c r="F11" s="6" t="n">
        <f aca="false">C11*0.5+D11</f>
        <v>20.00097455</v>
      </c>
      <c r="G11" s="11" t="n">
        <f aca="false">(E11-F11)/E11</f>
        <v>4.87227517243426E-005</v>
      </c>
      <c r="H11" s="3" t="s">
        <v>91</v>
      </c>
    </row>
    <row r="12" customFormat="false" ht="42" hidden="false" customHeight="true" outlineLevel="0" collapsed="false">
      <c r="A12" s="5" t="n">
        <v>240</v>
      </c>
      <c r="B12" s="5" t="n">
        <v>0</v>
      </c>
      <c r="C12" s="6" t="n">
        <f aca="false">'01_逐次费用'!I10/8</f>
        <v>0.0019491</v>
      </c>
      <c r="D12" s="6" t="n">
        <f aca="false">A12*B12/60</f>
        <v>0</v>
      </c>
      <c r="E12" s="6" t="n">
        <f aca="false">C12+D12</f>
        <v>0.0019491</v>
      </c>
      <c r="F12" s="6" t="n">
        <f aca="false">C12*0.5+D12</f>
        <v>0.00097455</v>
      </c>
      <c r="G12" s="11" t="n">
        <f aca="false">(E12-F12)/E12</f>
        <v>0.5</v>
      </c>
      <c r="H12" s="3" t="s">
        <v>91</v>
      </c>
    </row>
    <row r="13" customFormat="false" ht="42" hidden="false" customHeight="true" outlineLevel="0" collapsed="false">
      <c r="A13" s="5" t="n">
        <v>240</v>
      </c>
      <c r="B13" s="5" t="n">
        <v>1</v>
      </c>
      <c r="C13" s="6" t="n">
        <f aca="false">'01_逐次费用'!I10/8</f>
        <v>0.0019491</v>
      </c>
      <c r="D13" s="6" t="n">
        <f aca="false">A13*B13/60</f>
        <v>4</v>
      </c>
      <c r="E13" s="6" t="n">
        <f aca="false">C13+D13</f>
        <v>4.0019491</v>
      </c>
      <c r="F13" s="6" t="n">
        <f aca="false">C13*0.5+D13</f>
        <v>4.00097455</v>
      </c>
      <c r="G13" s="11" t="n">
        <f aca="false">(E13-F13)/E13</f>
        <v>0.000243518839357668</v>
      </c>
      <c r="H13" s="3" t="s">
        <v>91</v>
      </c>
    </row>
    <row r="14" customFormat="false" ht="42" hidden="false" customHeight="true" outlineLevel="0" collapsed="false">
      <c r="A14" s="5" t="n">
        <v>240</v>
      </c>
      <c r="B14" s="5" t="n">
        <v>3</v>
      </c>
      <c r="C14" s="6" t="n">
        <f aca="false">'01_逐次费用'!I10/8</f>
        <v>0.0019491</v>
      </c>
      <c r="D14" s="6" t="n">
        <f aca="false">A14*B14/60</f>
        <v>12</v>
      </c>
      <c r="E14" s="6" t="n">
        <f aca="false">C14+D14</f>
        <v>12.0019491</v>
      </c>
      <c r="F14" s="6" t="n">
        <f aca="false">C14*0.5+D14</f>
        <v>12.00097455</v>
      </c>
      <c r="G14" s="11" t="n">
        <f aca="false">(E14-F14)/E14</f>
        <v>8.11993112017686E-005</v>
      </c>
      <c r="H14" s="3" t="s">
        <v>91</v>
      </c>
    </row>
    <row r="15" customFormat="false" ht="42" hidden="false" customHeight="true" outlineLevel="0" collapsed="false">
      <c r="A15" s="5" t="n">
        <v>240</v>
      </c>
      <c r="B15" s="5" t="n">
        <v>5</v>
      </c>
      <c r="C15" s="6" t="n">
        <f aca="false">'01_逐次费用'!I10/8</f>
        <v>0.0019491</v>
      </c>
      <c r="D15" s="6" t="n">
        <f aca="false">A15*B15/60</f>
        <v>20</v>
      </c>
      <c r="E15" s="6" t="n">
        <f aca="false">C15+D15</f>
        <v>20.0019491</v>
      </c>
      <c r="F15" s="6" t="n">
        <f aca="false">C15*0.5+D15</f>
        <v>20.00097455</v>
      </c>
      <c r="G15" s="11" t="n">
        <f aca="false">(E15-F15)/E15</f>
        <v>4.87227517243426E-005</v>
      </c>
      <c r="H15" s="3" t="s">
        <v>91</v>
      </c>
    </row>
    <row r="16" customFormat="false" ht="42" hidden="false" customHeight="true" outlineLevel="0" collapsed="false">
      <c r="A16" s="5" t="n">
        <v>240</v>
      </c>
      <c r="B16" s="5" t="n">
        <v>10</v>
      </c>
      <c r="C16" s="6" t="n">
        <f aca="false">'01_逐次费用'!I10/8</f>
        <v>0.0019491</v>
      </c>
      <c r="D16" s="6" t="n">
        <f aca="false">A16*B16/60</f>
        <v>40</v>
      </c>
      <c r="E16" s="6" t="n">
        <f aca="false">C16+D16</f>
        <v>40.0019491</v>
      </c>
      <c r="F16" s="6" t="n">
        <f aca="false">C16*0.5+D16</f>
        <v>40.00097455</v>
      </c>
      <c r="G16" s="11" t="n">
        <f aca="false">(E16-F16)/E16</f>
        <v>2.43625628730959E-005</v>
      </c>
      <c r="H16" s="3" t="s">
        <v>91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1" width="21"/>
  </cols>
  <sheetData>
    <row r="1" customFormat="false" ht="31.5" hidden="false" customHeight="true" outlineLevel="0" collapsed="false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</row>
    <row r="2" customFormat="false" ht="42" hidden="false" customHeight="true" outlineLevel="0" collapsed="false">
      <c r="A2" s="5" t="n">
        <v>2024</v>
      </c>
      <c r="B2" s="5" t="n">
        <v>6836158028.21</v>
      </c>
      <c r="C2" s="5" t="n">
        <v>85724597</v>
      </c>
      <c r="D2" s="12" t="n">
        <f aca="false">B2/C2</f>
        <v>79.7455837349693</v>
      </c>
      <c r="E2" s="3"/>
      <c r="F2" s="3" t="s">
        <v>98</v>
      </c>
    </row>
    <row r="3" customFormat="false" ht="42" hidden="false" customHeight="true" outlineLevel="0" collapsed="false">
      <c r="A3" s="5" t="n">
        <v>2025</v>
      </c>
      <c r="B3" s="5" t="n">
        <v>6965677978.67</v>
      </c>
      <c r="C3" s="5" t="n">
        <v>92664612</v>
      </c>
      <c r="D3" s="12" t="n">
        <f aca="false">B3/C3</f>
        <v>75.1708535580983</v>
      </c>
      <c r="E3" s="11" t="n">
        <f aca="false">D3/D2-1</f>
        <v>-0.0573665645495168</v>
      </c>
      <c r="F3" s="3" t="s">
        <v>99</v>
      </c>
    </row>
  </sheetData>
  <autoFilter ref="A1:F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1" width="21"/>
  </cols>
  <sheetData>
    <row r="1" customFormat="false" ht="31.5" hidden="false" customHeight="true" outlineLevel="0" collapsed="false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8" t="s">
        <v>107</v>
      </c>
      <c r="I1" s="2" t="s">
        <v>108</v>
      </c>
    </row>
    <row r="2" customFormat="false" ht="42" hidden="false" customHeight="true" outlineLevel="0" collapsed="false">
      <c r="A2" s="4" t="s">
        <v>109</v>
      </c>
      <c r="B2" s="4" t="s">
        <v>110</v>
      </c>
      <c r="C2" s="3" t="s">
        <v>111</v>
      </c>
      <c r="D2" s="4" t="s">
        <v>112</v>
      </c>
      <c r="E2" s="3" t="s">
        <v>113</v>
      </c>
      <c r="F2" s="3" t="s">
        <v>114</v>
      </c>
      <c r="G2" s="4" t="s">
        <v>115</v>
      </c>
      <c r="H2" s="3" t="s">
        <v>116</v>
      </c>
      <c r="I2" s="4" t="s">
        <v>117</v>
      </c>
    </row>
    <row r="3" customFormat="false" ht="42" hidden="false" customHeight="true" outlineLevel="0" collapsed="false">
      <c r="A3" s="4" t="s">
        <v>118</v>
      </c>
      <c r="B3" s="3" t="s">
        <v>119</v>
      </c>
      <c r="C3" s="3" t="s">
        <v>120</v>
      </c>
      <c r="D3" s="4" t="s">
        <v>121</v>
      </c>
      <c r="E3" s="3" t="s">
        <v>122</v>
      </c>
      <c r="F3" s="3" t="s">
        <v>123</v>
      </c>
      <c r="G3" s="4" t="s">
        <v>124</v>
      </c>
      <c r="H3" s="3" t="s">
        <v>125</v>
      </c>
      <c r="I3" s="4" t="s">
        <v>126</v>
      </c>
    </row>
    <row r="4" customFormat="false" ht="42" hidden="false" customHeight="true" outlineLevel="0" collapsed="false">
      <c r="A4" s="4" t="s">
        <v>127</v>
      </c>
      <c r="B4" s="3" t="s">
        <v>128</v>
      </c>
      <c r="C4" s="3" t="s">
        <v>129</v>
      </c>
      <c r="D4" s="4" t="s">
        <v>130</v>
      </c>
      <c r="E4" s="4" t="s">
        <v>131</v>
      </c>
      <c r="F4" s="4" t="s">
        <v>132</v>
      </c>
      <c r="G4" s="4" t="s">
        <v>133</v>
      </c>
      <c r="H4" s="3" t="s">
        <v>134</v>
      </c>
      <c r="I4" s="4" t="s">
        <v>135</v>
      </c>
    </row>
  </sheetData>
  <autoFilter ref="A1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48"/>
    <col collapsed="false" customWidth="true" hidden="false" outlineLevel="0" max="3" min="3" style="1" width="70"/>
    <col collapsed="false" customWidth="true" hidden="false" outlineLevel="0" max="4" min="4" style="1" width="21"/>
  </cols>
  <sheetData>
    <row r="1" customFormat="false" ht="31.5" hidden="false" customHeight="true" outlineLevel="0" collapsed="false">
      <c r="A1" s="2" t="s">
        <v>136</v>
      </c>
      <c r="B1" s="2" t="s">
        <v>137</v>
      </c>
      <c r="C1" s="2" t="s">
        <v>138</v>
      </c>
      <c r="D1" s="2" t="s">
        <v>139</v>
      </c>
    </row>
    <row r="2" customFormat="false" ht="42" hidden="false" customHeight="true" outlineLevel="0" collapsed="false">
      <c r="A2" s="3" t="s">
        <v>140</v>
      </c>
      <c r="B2" s="3" t="s">
        <v>141</v>
      </c>
      <c r="C2" s="3" t="s">
        <v>142</v>
      </c>
      <c r="D2" s="3" t="s">
        <v>143</v>
      </c>
    </row>
    <row r="3" customFormat="false" ht="42" hidden="false" customHeight="true" outlineLevel="0" collapsed="false">
      <c r="A3" s="3" t="s">
        <v>144</v>
      </c>
      <c r="B3" s="3" t="s">
        <v>141</v>
      </c>
      <c r="C3" s="4" t="s">
        <v>145</v>
      </c>
      <c r="D3" s="3" t="s">
        <v>146</v>
      </c>
    </row>
    <row r="4" customFormat="false" ht="42" hidden="false" customHeight="true" outlineLevel="0" collapsed="false">
      <c r="A4" s="3" t="s">
        <v>147</v>
      </c>
      <c r="B4" s="3" t="s">
        <v>141</v>
      </c>
      <c r="C4" s="4" t="s">
        <v>148</v>
      </c>
      <c r="D4" s="3" t="s">
        <v>149</v>
      </c>
    </row>
    <row r="5" customFormat="false" ht="42" hidden="false" customHeight="true" outlineLevel="0" collapsed="false">
      <c r="A5" s="3" t="s">
        <v>150</v>
      </c>
      <c r="B5" s="3" t="s">
        <v>141</v>
      </c>
      <c r="C5" s="3" t="s">
        <v>151</v>
      </c>
      <c r="D5" s="3" t="s">
        <v>152</v>
      </c>
    </row>
    <row r="6" customFormat="false" ht="42" hidden="false" customHeight="true" outlineLevel="0" collapsed="false">
      <c r="A6" s="3" t="s">
        <v>153</v>
      </c>
      <c r="B6" s="3" t="s">
        <v>154</v>
      </c>
      <c r="C6" s="3" t="s">
        <v>155</v>
      </c>
      <c r="D6" s="3" t="s">
        <v>156</v>
      </c>
    </row>
    <row r="7" customFormat="false" ht="42" hidden="false" customHeight="true" outlineLevel="0" collapsed="false">
      <c r="A7" s="3" t="s">
        <v>157</v>
      </c>
      <c r="B7" s="3" t="s">
        <v>158</v>
      </c>
      <c r="C7" s="3" t="s">
        <v>159</v>
      </c>
      <c r="D7" s="3" t="s">
        <v>160</v>
      </c>
    </row>
    <row r="8" customFormat="false" ht="42" hidden="false" customHeight="true" outlineLevel="0" collapsed="false">
      <c r="A8" s="3" t="s">
        <v>161</v>
      </c>
      <c r="B8" s="4" t="s">
        <v>162</v>
      </c>
      <c r="C8" s="3" t="s">
        <v>163</v>
      </c>
      <c r="D8" s="3" t="s">
        <v>164</v>
      </c>
    </row>
    <row r="9" customFormat="false" ht="42" hidden="false" customHeight="true" outlineLevel="0" collapsed="false">
      <c r="A9" s="4" t="s">
        <v>165</v>
      </c>
      <c r="B9" s="3" t="s">
        <v>166</v>
      </c>
      <c r="C9" s="3" t="s">
        <v>167</v>
      </c>
      <c r="D9" s="3" t="s">
        <v>168</v>
      </c>
    </row>
    <row r="10" customFormat="false" ht="42" hidden="false" customHeight="true" outlineLevel="0" collapsed="false">
      <c r="A10" s="4" t="s">
        <v>169</v>
      </c>
      <c r="B10" s="3" t="s">
        <v>170</v>
      </c>
      <c r="C10" s="3" t="s">
        <v>171</v>
      </c>
      <c r="D10" s="3" t="s">
        <v>172</v>
      </c>
    </row>
    <row r="11" customFormat="false" ht="42" hidden="false" customHeight="true" outlineLevel="0" collapsed="false">
      <c r="A11" s="3" t="s">
        <v>173</v>
      </c>
      <c r="B11" s="3" t="s">
        <v>174</v>
      </c>
      <c r="C11" s="3" t="s">
        <v>175</v>
      </c>
      <c r="D11" s="3" t="s">
        <v>176</v>
      </c>
    </row>
    <row r="12" customFormat="false" ht="42" hidden="false" customHeight="true" outlineLevel="0" collapsed="false">
      <c r="A12" s="3" t="s">
        <v>177</v>
      </c>
      <c r="B12" s="3" t="s">
        <v>178</v>
      </c>
      <c r="C12" s="3" t="s">
        <v>179</v>
      </c>
      <c r="D12" s="3" t="s">
        <v>180</v>
      </c>
    </row>
    <row r="13" customFormat="false" ht="42" hidden="false" customHeight="true" outlineLevel="0" collapsed="false">
      <c r="A13" s="3" t="s">
        <v>181</v>
      </c>
      <c r="B13" s="3" t="s">
        <v>182</v>
      </c>
      <c r="C13" s="3" t="s">
        <v>183</v>
      </c>
      <c r="D13" s="3" t="s">
        <v>184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1" width="23"/>
  </cols>
  <sheetData>
    <row r="1" customFormat="false" ht="16.5" hidden="false" customHeight="true" outlineLevel="0" collapsed="false">
      <c r="A1" s="2" t="s">
        <v>18</v>
      </c>
      <c r="B1" s="2" t="s">
        <v>19</v>
      </c>
      <c r="C1" s="8" t="s">
        <v>185</v>
      </c>
      <c r="D1" s="8" t="s">
        <v>186</v>
      </c>
      <c r="E1" s="8" t="s">
        <v>187</v>
      </c>
      <c r="F1" s="8" t="s">
        <v>188</v>
      </c>
      <c r="G1" s="2" t="s">
        <v>189</v>
      </c>
      <c r="H1" s="2" t="s">
        <v>190</v>
      </c>
      <c r="I1" s="2" t="s">
        <v>191</v>
      </c>
    </row>
    <row r="2" customFormat="false" ht="66" hidden="false" customHeight="true" outlineLevel="0" collapsed="false">
      <c r="A2" s="13" t="s">
        <v>33</v>
      </c>
      <c r="B2" s="13" t="s">
        <v>34</v>
      </c>
      <c r="C2" s="13" t="n">
        <v>1</v>
      </c>
      <c r="D2" s="13" t="n">
        <v>1</v>
      </c>
      <c r="E2" s="13" t="n">
        <v>1</v>
      </c>
      <c r="F2" s="13" t="n">
        <v>1</v>
      </c>
      <c r="G2" s="13" t="n">
        <v>1</v>
      </c>
      <c r="H2" s="13" t="n">
        <v>1</v>
      </c>
      <c r="I2" s="13" t="s">
        <v>192</v>
      </c>
    </row>
    <row r="3" customFormat="false" ht="66" hidden="false" customHeight="true" outlineLevel="0" collapsed="false">
      <c r="A3" s="13" t="s">
        <v>39</v>
      </c>
      <c r="B3" s="13" t="s">
        <v>40</v>
      </c>
      <c r="C3" s="13" t="n">
        <v>1</v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1</v>
      </c>
      <c r="I3" s="13" t="s">
        <v>192</v>
      </c>
    </row>
    <row r="4" customFormat="false" ht="66" hidden="false" customHeight="true" outlineLevel="0" collapsed="false">
      <c r="A4" s="13" t="s">
        <v>43</v>
      </c>
      <c r="B4" s="13" t="s">
        <v>34</v>
      </c>
      <c r="C4" s="13" t="n">
        <v>1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1</v>
      </c>
      <c r="I4" s="13" t="s">
        <v>192</v>
      </c>
    </row>
    <row r="5" customFormat="false" ht="66" hidden="false" customHeight="true" outlineLevel="0" collapsed="false">
      <c r="A5" s="13" t="s">
        <v>46</v>
      </c>
      <c r="B5" s="13" t="s">
        <v>40</v>
      </c>
      <c r="C5" s="13" t="n">
        <v>1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1</v>
      </c>
      <c r="I5" s="13" t="s">
        <v>192</v>
      </c>
    </row>
    <row r="6" customFormat="false" ht="66" hidden="false" customHeight="true" outlineLevel="0" collapsed="false">
      <c r="A6" s="13" t="s">
        <v>48</v>
      </c>
      <c r="B6" s="13" t="s">
        <v>40</v>
      </c>
      <c r="C6" s="13" t="n">
        <v>1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1</v>
      </c>
      <c r="I6" s="13" t="s">
        <v>192</v>
      </c>
    </row>
    <row r="7" customFormat="false" ht="66" hidden="false" customHeight="true" outlineLevel="0" collapsed="false">
      <c r="A7" s="13" t="s">
        <v>50</v>
      </c>
      <c r="B7" s="13" t="s">
        <v>34</v>
      </c>
      <c r="C7" s="13" t="n">
        <v>1</v>
      </c>
      <c r="D7" s="13" t="n">
        <v>1</v>
      </c>
      <c r="E7" s="13" t="n">
        <v>1</v>
      </c>
      <c r="F7" s="13" t="n">
        <v>1</v>
      </c>
      <c r="G7" s="13" t="n">
        <v>1</v>
      </c>
      <c r="H7" s="13" t="n">
        <v>1</v>
      </c>
      <c r="I7" s="13" t="s">
        <v>192</v>
      </c>
    </row>
    <row r="8" customFormat="false" ht="66" hidden="false" customHeight="true" outlineLevel="0" collapsed="false">
      <c r="A8" s="13" t="s">
        <v>52</v>
      </c>
      <c r="B8" s="13" t="s">
        <v>34</v>
      </c>
      <c r="C8" s="13" t="n">
        <v>1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1</v>
      </c>
      <c r="I8" s="13" t="s">
        <v>192</v>
      </c>
    </row>
    <row r="9" customFormat="false" ht="66" hidden="false" customHeight="true" outlineLevel="0" collapsed="false">
      <c r="A9" s="13" t="s">
        <v>54</v>
      </c>
      <c r="B9" s="13" t="s">
        <v>40</v>
      </c>
      <c r="C9" s="13" t="n">
        <v>1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1</v>
      </c>
      <c r="I9" s="13" t="s">
        <v>192</v>
      </c>
    </row>
  </sheetData>
  <autoFilter ref="A1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23"/>
  </cols>
  <sheetData>
    <row r="1" customFormat="false" ht="16.5" hidden="false" customHeight="true" outlineLevel="0" collapsed="false">
      <c r="A1" s="2" t="s">
        <v>18</v>
      </c>
      <c r="B1" s="2" t="s">
        <v>193</v>
      </c>
      <c r="C1" s="8" t="s">
        <v>194</v>
      </c>
      <c r="D1" s="8" t="s">
        <v>195</v>
      </c>
      <c r="E1" s="8" t="s">
        <v>196</v>
      </c>
      <c r="F1" s="8" t="s">
        <v>197</v>
      </c>
      <c r="G1" s="2" t="s">
        <v>198</v>
      </c>
    </row>
    <row r="2" customFormat="false" ht="66" hidden="false" customHeight="true" outlineLevel="0" collapsed="false">
      <c r="A2" s="13" t="s">
        <v>46</v>
      </c>
      <c r="B2" s="13" t="s">
        <v>63</v>
      </c>
      <c r="C2" s="13" t="n">
        <v>2</v>
      </c>
      <c r="D2" s="13" t="n">
        <v>2</v>
      </c>
      <c r="E2" s="13" t="n">
        <v>0</v>
      </c>
      <c r="F2" s="13" t="n">
        <v>2</v>
      </c>
      <c r="G2" s="14" t="s">
        <v>199</v>
      </c>
    </row>
    <row r="3" customFormat="false" ht="66" hidden="false" customHeight="true" outlineLevel="0" collapsed="false">
      <c r="A3" s="13" t="s">
        <v>46</v>
      </c>
      <c r="B3" s="13" t="s">
        <v>64</v>
      </c>
      <c r="C3" s="13" t="n">
        <v>2</v>
      </c>
      <c r="D3" s="13" t="n">
        <v>2</v>
      </c>
      <c r="E3" s="13" t="n">
        <v>0</v>
      </c>
      <c r="F3" s="13" t="n">
        <v>2</v>
      </c>
      <c r="G3" s="14" t="s">
        <v>199</v>
      </c>
    </row>
    <row r="4" customFormat="false" ht="66" hidden="false" customHeight="true" outlineLevel="0" collapsed="false">
      <c r="A4" s="13" t="s">
        <v>46</v>
      </c>
      <c r="B4" s="13" t="s">
        <v>65</v>
      </c>
      <c r="C4" s="13" t="n">
        <v>2</v>
      </c>
      <c r="D4" s="13" t="n">
        <v>1</v>
      </c>
      <c r="E4" s="13" t="n">
        <v>1</v>
      </c>
      <c r="F4" s="13" t="n">
        <v>0</v>
      </c>
      <c r="G4" s="14" t="s">
        <v>199</v>
      </c>
    </row>
    <row r="5" customFormat="false" ht="66" hidden="false" customHeight="true" outlineLevel="0" collapsed="false">
      <c r="A5" s="13" t="s">
        <v>46</v>
      </c>
      <c r="B5" s="13" t="s">
        <v>66</v>
      </c>
      <c r="C5" s="13" t="n">
        <v>2</v>
      </c>
      <c r="D5" s="13" t="n">
        <v>2</v>
      </c>
      <c r="E5" s="13" t="n">
        <v>0</v>
      </c>
      <c r="F5" s="13" t="n">
        <v>1</v>
      </c>
      <c r="G5" s="14" t="s">
        <v>199</v>
      </c>
    </row>
    <row r="6" customFormat="false" ht="66" hidden="false" customHeight="true" outlineLevel="0" collapsed="false">
      <c r="A6" s="13" t="s">
        <v>48</v>
      </c>
      <c r="B6" s="13" t="s">
        <v>65</v>
      </c>
      <c r="C6" s="13" t="n">
        <v>2</v>
      </c>
      <c r="D6" s="13" t="n">
        <v>1</v>
      </c>
      <c r="E6" s="13" t="n">
        <v>1</v>
      </c>
      <c r="F6" s="13" t="n">
        <v>0</v>
      </c>
      <c r="G6" s="14" t="s">
        <v>199</v>
      </c>
    </row>
    <row r="7" customFormat="false" ht="66" hidden="false" customHeight="true" outlineLevel="0" collapsed="false">
      <c r="A7" s="13" t="s">
        <v>48</v>
      </c>
      <c r="B7" s="14" t="s">
        <v>200</v>
      </c>
      <c r="C7" s="14" t="s">
        <v>73</v>
      </c>
      <c r="D7" s="14" t="s">
        <v>73</v>
      </c>
      <c r="E7" s="14" t="s">
        <v>73</v>
      </c>
      <c r="F7" s="14" t="s">
        <v>77</v>
      </c>
      <c r="G7" s="14" t="s">
        <v>199</v>
      </c>
    </row>
    <row r="8" customFormat="false" ht="66" hidden="false" customHeight="true" outlineLevel="0" collapsed="false">
      <c r="A8" s="13" t="s">
        <v>48</v>
      </c>
      <c r="B8" s="14" t="s">
        <v>201</v>
      </c>
      <c r="C8" s="13" t="n">
        <v>2</v>
      </c>
      <c r="D8" s="13" t="n">
        <v>2</v>
      </c>
      <c r="E8" s="13" t="n">
        <v>2</v>
      </c>
      <c r="F8" s="13" t="n">
        <v>1</v>
      </c>
      <c r="G8" s="14" t="s">
        <v>199</v>
      </c>
    </row>
    <row r="9" customFormat="false" ht="66" hidden="false" customHeight="true" outlineLevel="0" collapsed="false">
      <c r="A9" s="13" t="s">
        <v>52</v>
      </c>
      <c r="B9" s="13" t="s">
        <v>63</v>
      </c>
      <c r="C9" s="13" t="n">
        <v>2</v>
      </c>
      <c r="D9" s="13" t="n">
        <v>2</v>
      </c>
      <c r="E9" s="13" t="n">
        <v>0</v>
      </c>
      <c r="F9" s="13" t="n">
        <v>2</v>
      </c>
      <c r="G9" s="14" t="s">
        <v>199</v>
      </c>
    </row>
    <row r="10" customFormat="false" ht="66" hidden="false" customHeight="true" outlineLevel="0" collapsed="false">
      <c r="A10" s="13" t="s">
        <v>52</v>
      </c>
      <c r="B10" s="13" t="s">
        <v>64</v>
      </c>
      <c r="C10" s="13" t="n">
        <v>2</v>
      </c>
      <c r="D10" s="13" t="n">
        <v>2</v>
      </c>
      <c r="E10" s="13" t="n">
        <v>0</v>
      </c>
      <c r="F10" s="13" t="n">
        <v>2</v>
      </c>
      <c r="G10" s="14" t="s">
        <v>199</v>
      </c>
    </row>
    <row r="11" customFormat="false" ht="66" hidden="false" customHeight="true" outlineLevel="0" collapsed="false">
      <c r="A11" s="13" t="s">
        <v>52</v>
      </c>
      <c r="B11" s="13" t="s">
        <v>65</v>
      </c>
      <c r="C11" s="13" t="n">
        <v>2</v>
      </c>
      <c r="D11" s="13" t="n">
        <v>2</v>
      </c>
      <c r="E11" s="13" t="n">
        <v>1</v>
      </c>
      <c r="F11" s="13" t="n">
        <v>0</v>
      </c>
      <c r="G11" s="14" t="s">
        <v>199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1" width="23"/>
    <col collapsed="false" customWidth="true" hidden="false" outlineLevel="0" max="14" min="14" style="1" width="110"/>
  </cols>
  <sheetData>
    <row r="1" customFormat="false" ht="16.5" hidden="false" customHeight="true" outlineLevel="0" collapsed="false">
      <c r="A1" s="2" t="s">
        <v>18</v>
      </c>
      <c r="B1" s="2" t="s">
        <v>19</v>
      </c>
      <c r="C1" s="8" t="s">
        <v>63</v>
      </c>
      <c r="D1" s="8" t="s">
        <v>64</v>
      </c>
      <c r="E1" s="8" t="s">
        <v>65</v>
      </c>
      <c r="F1" s="8" t="s">
        <v>66</v>
      </c>
      <c r="G1" s="2" t="s">
        <v>67</v>
      </c>
      <c r="H1" s="8" t="s">
        <v>202</v>
      </c>
      <c r="I1" s="2" t="s">
        <v>203</v>
      </c>
      <c r="J1" s="2" t="s">
        <v>200</v>
      </c>
      <c r="K1" s="2" t="s">
        <v>204</v>
      </c>
      <c r="L1" s="2" t="s">
        <v>205</v>
      </c>
      <c r="M1" s="2" t="s">
        <v>74</v>
      </c>
      <c r="N1" s="2" t="s">
        <v>206</v>
      </c>
    </row>
    <row r="2" customFormat="false" ht="66" hidden="false" customHeight="true" outlineLevel="0" collapsed="false">
      <c r="A2" s="13" t="s">
        <v>33</v>
      </c>
      <c r="B2" s="13" t="s">
        <v>34</v>
      </c>
      <c r="C2" s="13" t="n">
        <v>2</v>
      </c>
      <c r="D2" s="13" t="n">
        <v>2</v>
      </c>
      <c r="E2" s="13" t="n">
        <v>2</v>
      </c>
      <c r="F2" s="13" t="n">
        <v>2</v>
      </c>
      <c r="G2" s="15" t="b">
        <f aca="false">FALSE()</f>
        <v>0</v>
      </c>
      <c r="H2" s="15" t="b">
        <f aca="false">FALSE()</f>
        <v>0</v>
      </c>
      <c r="I2" s="15" t="b">
        <f aca="false">FALSE()</f>
        <v>0</v>
      </c>
      <c r="J2" s="15" t="b">
        <f aca="false">FALSE()</f>
        <v>0</v>
      </c>
      <c r="K2" s="13" t="n">
        <v>3</v>
      </c>
      <c r="L2" s="13" t="n">
        <v>3</v>
      </c>
      <c r="M2" s="15" t="b">
        <f aca="false">TRUE()</f>
        <v>1</v>
      </c>
      <c r="N2" s="13" t="s">
        <v>207</v>
      </c>
    </row>
    <row r="3" customFormat="false" ht="66" hidden="false" customHeight="true" outlineLevel="0" collapsed="false">
      <c r="A3" s="13" t="s">
        <v>39</v>
      </c>
      <c r="B3" s="13" t="s">
        <v>40</v>
      </c>
      <c r="C3" s="13" t="n">
        <v>2</v>
      </c>
      <c r="D3" s="13" t="n">
        <v>2</v>
      </c>
      <c r="E3" s="13" t="n">
        <v>1</v>
      </c>
      <c r="F3" s="13" t="n">
        <v>2</v>
      </c>
      <c r="G3" s="15" t="b">
        <f aca="false">FALSE()</f>
        <v>0</v>
      </c>
      <c r="H3" s="15" t="b">
        <f aca="false">FALSE()</f>
        <v>0</v>
      </c>
      <c r="I3" s="15" t="b">
        <f aca="false">FALSE()</f>
        <v>0</v>
      </c>
      <c r="J3" s="15" t="b">
        <f aca="false">FALSE()</f>
        <v>0</v>
      </c>
      <c r="K3" s="13" t="n">
        <v>2</v>
      </c>
      <c r="L3" s="13" t="n">
        <v>3</v>
      </c>
      <c r="M3" s="15" t="b">
        <f aca="false">FALSE()</f>
        <v>0</v>
      </c>
      <c r="N3" s="13" t="s">
        <v>208</v>
      </c>
    </row>
    <row r="4" customFormat="false" ht="66" hidden="false" customHeight="true" outlineLevel="0" collapsed="false">
      <c r="A4" s="13" t="s">
        <v>43</v>
      </c>
      <c r="B4" s="13" t="s">
        <v>34</v>
      </c>
      <c r="C4" s="13" t="n">
        <v>2</v>
      </c>
      <c r="D4" s="13" t="n">
        <v>2</v>
      </c>
      <c r="E4" s="13" t="n">
        <v>2</v>
      </c>
      <c r="F4" s="13" t="n">
        <v>2</v>
      </c>
      <c r="G4" s="15" t="b">
        <f aca="false">FALSE()</f>
        <v>0</v>
      </c>
      <c r="H4" s="15" t="b">
        <f aca="false">FALSE()</f>
        <v>0</v>
      </c>
      <c r="I4" s="15" t="b">
        <f aca="false">FALSE()</f>
        <v>0</v>
      </c>
      <c r="J4" s="15" t="b">
        <f aca="false">FALSE()</f>
        <v>0</v>
      </c>
      <c r="K4" s="13" t="n">
        <v>3</v>
      </c>
      <c r="L4" s="13" t="n">
        <v>3</v>
      </c>
      <c r="M4" s="15" t="b">
        <f aca="false">TRUE()</f>
        <v>1</v>
      </c>
      <c r="N4" s="13" t="s">
        <v>209</v>
      </c>
    </row>
    <row r="5" customFormat="false" ht="66" hidden="false" customHeight="true" outlineLevel="0" collapsed="false">
      <c r="A5" s="13" t="s">
        <v>46</v>
      </c>
      <c r="B5" s="13" t="s">
        <v>40</v>
      </c>
      <c r="C5" s="13" t="n">
        <v>2</v>
      </c>
      <c r="D5" s="13" t="n">
        <v>2</v>
      </c>
      <c r="E5" s="13" t="n">
        <v>0</v>
      </c>
      <c r="F5" s="13" t="n">
        <v>1</v>
      </c>
      <c r="G5" s="15" t="b">
        <f aca="false">TRUE()</f>
        <v>1</v>
      </c>
      <c r="H5" s="15" t="b">
        <f aca="false">FALSE()</f>
        <v>0</v>
      </c>
      <c r="I5" s="15" t="b">
        <f aca="false">TRUE()</f>
        <v>1</v>
      </c>
      <c r="J5" s="15" t="b">
        <f aca="false">FALSE()</f>
        <v>0</v>
      </c>
      <c r="K5" s="13" t="n">
        <v>1</v>
      </c>
      <c r="L5" s="13" t="n">
        <v>3</v>
      </c>
      <c r="M5" s="15" t="b">
        <f aca="false">FALSE()</f>
        <v>0</v>
      </c>
      <c r="N5" s="13" t="s">
        <v>210</v>
      </c>
    </row>
    <row r="6" customFormat="false" ht="66" hidden="false" customHeight="true" outlineLevel="0" collapsed="false">
      <c r="A6" s="13" t="s">
        <v>48</v>
      </c>
      <c r="B6" s="13" t="s">
        <v>40</v>
      </c>
      <c r="C6" s="13" t="n">
        <v>2</v>
      </c>
      <c r="D6" s="13" t="n">
        <v>2</v>
      </c>
      <c r="E6" s="13" t="n">
        <v>0</v>
      </c>
      <c r="F6" s="13" t="n">
        <v>2</v>
      </c>
      <c r="G6" s="15" t="b">
        <f aca="false">FALSE()</f>
        <v>0</v>
      </c>
      <c r="H6" s="15" t="b">
        <f aca="false">FALSE()</f>
        <v>0</v>
      </c>
      <c r="I6" s="15" t="b">
        <f aca="false">FALSE()</f>
        <v>0</v>
      </c>
      <c r="J6" s="15" t="b">
        <f aca="false">TRUE()</f>
        <v>1</v>
      </c>
      <c r="K6" s="13" t="n">
        <v>1</v>
      </c>
      <c r="L6" s="13" t="n">
        <v>3</v>
      </c>
      <c r="M6" s="15" t="b">
        <f aca="false">FALSE()</f>
        <v>0</v>
      </c>
      <c r="N6" s="13" t="s">
        <v>211</v>
      </c>
    </row>
    <row r="7" customFormat="false" ht="66" hidden="false" customHeight="true" outlineLevel="0" collapsed="false">
      <c r="A7" s="13" t="s">
        <v>50</v>
      </c>
      <c r="B7" s="13" t="s">
        <v>34</v>
      </c>
      <c r="C7" s="13" t="n">
        <v>2</v>
      </c>
      <c r="D7" s="13" t="n">
        <v>2</v>
      </c>
      <c r="E7" s="13" t="n">
        <v>2</v>
      </c>
      <c r="F7" s="13" t="n">
        <v>2</v>
      </c>
      <c r="G7" s="15" t="b">
        <f aca="false">FALSE()</f>
        <v>0</v>
      </c>
      <c r="H7" s="15" t="b">
        <f aca="false">FALSE()</f>
        <v>0</v>
      </c>
      <c r="I7" s="15" t="b">
        <f aca="false">FALSE()</f>
        <v>0</v>
      </c>
      <c r="J7" s="15" t="b">
        <f aca="false">FALSE()</f>
        <v>0</v>
      </c>
      <c r="K7" s="13" t="n">
        <v>3</v>
      </c>
      <c r="L7" s="13" t="n">
        <v>3</v>
      </c>
      <c r="M7" s="15" t="b">
        <f aca="false">TRUE()</f>
        <v>1</v>
      </c>
      <c r="N7" s="13" t="s">
        <v>212</v>
      </c>
    </row>
    <row r="8" customFormat="false" ht="66" hidden="false" customHeight="true" outlineLevel="0" collapsed="false">
      <c r="A8" s="13" t="s">
        <v>52</v>
      </c>
      <c r="B8" s="13" t="s">
        <v>34</v>
      </c>
      <c r="C8" s="13" t="n">
        <v>2</v>
      </c>
      <c r="D8" s="13" t="n">
        <v>2</v>
      </c>
      <c r="E8" s="13" t="n">
        <v>0</v>
      </c>
      <c r="F8" s="13" t="n">
        <v>0</v>
      </c>
      <c r="G8" s="15" t="b">
        <f aca="false">TRUE()</f>
        <v>1</v>
      </c>
      <c r="H8" s="15" t="b">
        <f aca="false">FALSE()</f>
        <v>0</v>
      </c>
      <c r="I8" s="15" t="b">
        <f aca="false">TRUE()</f>
        <v>1</v>
      </c>
      <c r="J8" s="15" t="b">
        <f aca="false">FALSE()</f>
        <v>0</v>
      </c>
      <c r="K8" s="13" t="n">
        <v>1</v>
      </c>
      <c r="L8" s="13" t="n">
        <v>3</v>
      </c>
      <c r="M8" s="15" t="b">
        <f aca="false">FALSE()</f>
        <v>0</v>
      </c>
      <c r="N8" s="13" t="s">
        <v>213</v>
      </c>
    </row>
    <row r="9" customFormat="false" ht="66" hidden="false" customHeight="true" outlineLevel="0" collapsed="false">
      <c r="A9" s="13" t="s">
        <v>54</v>
      </c>
      <c r="B9" s="13" t="s">
        <v>40</v>
      </c>
      <c r="C9" s="13" t="n">
        <v>2</v>
      </c>
      <c r="D9" s="13" t="n">
        <v>2</v>
      </c>
      <c r="E9" s="13" t="n">
        <v>1</v>
      </c>
      <c r="F9" s="13" t="n">
        <v>2</v>
      </c>
      <c r="G9" s="15" t="b">
        <f aca="false">FALSE()</f>
        <v>0</v>
      </c>
      <c r="H9" s="15" t="b">
        <f aca="false">FALSE()</f>
        <v>0</v>
      </c>
      <c r="I9" s="15" t="b">
        <f aca="false">FALSE()</f>
        <v>0</v>
      </c>
      <c r="J9" s="15" t="b">
        <f aca="false">FALSE()</f>
        <v>0</v>
      </c>
      <c r="K9" s="13" t="n">
        <v>2</v>
      </c>
      <c r="L9" s="13" t="n">
        <v>3</v>
      </c>
      <c r="M9" s="15" t="b">
        <f aca="false">FALSE()</f>
        <v>0</v>
      </c>
      <c r="N9" s="13" t="s">
        <v>214</v>
      </c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4" min="2" style="1" width="58"/>
  </cols>
  <sheetData>
    <row r="1" customFormat="false" ht="16.5" hidden="false" customHeight="true" outlineLevel="0" collapsed="false">
      <c r="A1" s="2" t="s">
        <v>215</v>
      </c>
      <c r="B1" s="8" t="s">
        <v>216</v>
      </c>
      <c r="C1" s="2" t="s">
        <v>217</v>
      </c>
      <c r="D1" s="2" t="s">
        <v>218</v>
      </c>
    </row>
    <row r="2" customFormat="false" ht="66" hidden="false" customHeight="true" outlineLevel="0" collapsed="false">
      <c r="A2" s="13" t="s">
        <v>219</v>
      </c>
      <c r="B2" s="13" t="s">
        <v>220</v>
      </c>
      <c r="C2" s="13" t="s">
        <v>221</v>
      </c>
      <c r="D2" s="14" t="s">
        <v>222</v>
      </c>
    </row>
    <row r="3" customFormat="false" ht="66" hidden="false" customHeight="true" outlineLevel="0" collapsed="false">
      <c r="A3" s="13" t="s">
        <v>223</v>
      </c>
      <c r="B3" s="13" t="s">
        <v>224</v>
      </c>
      <c r="C3" s="14" t="s">
        <v>225</v>
      </c>
      <c r="D3" s="14" t="s">
        <v>226</v>
      </c>
    </row>
    <row r="4" customFormat="false" ht="66" hidden="false" customHeight="true" outlineLevel="0" collapsed="false">
      <c r="A4" s="13" t="s">
        <v>227</v>
      </c>
      <c r="B4" s="14" t="s">
        <v>228</v>
      </c>
      <c r="C4" s="13" t="s">
        <v>229</v>
      </c>
      <c r="D4" s="14" t="s">
        <v>230</v>
      </c>
    </row>
    <row r="5" customFormat="false" ht="66" hidden="false" customHeight="true" outlineLevel="0" collapsed="false">
      <c r="A5" s="13" t="s">
        <v>231</v>
      </c>
      <c r="B5" s="14" t="s">
        <v>232</v>
      </c>
      <c r="C5" s="14" t="s">
        <v>233</v>
      </c>
      <c r="D5" s="14" t="s">
        <v>234</v>
      </c>
    </row>
    <row r="6" customFormat="false" ht="66" hidden="false" customHeight="true" outlineLevel="0" collapsed="false">
      <c r="A6" s="13" t="s">
        <v>235</v>
      </c>
      <c r="B6" s="14" t="s">
        <v>236</v>
      </c>
      <c r="C6" s="13" t="s">
        <v>237</v>
      </c>
      <c r="D6" s="14" t="s">
        <v>238</v>
      </c>
    </row>
    <row r="7" customFormat="false" ht="66" hidden="false" customHeight="true" outlineLevel="0" collapsed="false">
      <c r="A7" s="13" t="s">
        <v>239</v>
      </c>
      <c r="B7" s="14" t="s">
        <v>240</v>
      </c>
      <c r="C7" s="14" t="s">
        <v>241</v>
      </c>
      <c r="D7" s="14" t="s">
        <v>242</v>
      </c>
    </row>
    <row r="8" customFormat="false" ht="66" hidden="false" customHeight="true" outlineLevel="0" collapsed="false">
      <c r="A8" s="14" t="s">
        <v>243</v>
      </c>
      <c r="B8" s="13" t="s">
        <v>244</v>
      </c>
      <c r="C8" s="14" t="s">
        <v>245</v>
      </c>
      <c r="D8" s="14" t="s">
        <v>246</v>
      </c>
    </row>
  </sheetData>
  <autoFilter ref="A1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6"/>
    <col collapsed="false" customWidth="true" hidden="false" outlineLevel="0" max="3" min="3" style="1" width="74"/>
  </cols>
  <sheetData>
    <row r="1" customFormat="false" ht="16.5" hidden="false" customHeight="true" outlineLevel="0" collapsed="false">
      <c r="A1" s="2" t="s">
        <v>104</v>
      </c>
      <c r="B1" s="2" t="s">
        <v>247</v>
      </c>
      <c r="C1" s="2" t="s">
        <v>248</v>
      </c>
    </row>
    <row r="2" customFormat="false" ht="66" hidden="false" customHeight="true" outlineLevel="0" collapsed="false">
      <c r="A2" s="14" t="s">
        <v>249</v>
      </c>
      <c r="B2" s="13" t="n">
        <v>8</v>
      </c>
      <c r="C2" s="14" t="s">
        <v>250</v>
      </c>
    </row>
    <row r="3" customFormat="false" ht="66" hidden="false" customHeight="true" outlineLevel="0" collapsed="false">
      <c r="A3" s="14" t="s">
        <v>251</v>
      </c>
      <c r="B3" s="13" t="n">
        <v>8</v>
      </c>
      <c r="C3" s="14" t="s">
        <v>252</v>
      </c>
    </row>
    <row r="4" customFormat="false" ht="66" hidden="false" customHeight="true" outlineLevel="0" collapsed="false">
      <c r="A4" s="13" t="s">
        <v>253</v>
      </c>
      <c r="B4" s="13" t="n">
        <v>3</v>
      </c>
      <c r="C4" s="13" t="s">
        <v>254</v>
      </c>
    </row>
    <row r="5" customFormat="false" ht="66" hidden="false" customHeight="true" outlineLevel="0" collapsed="false">
      <c r="A5" s="14" t="s">
        <v>255</v>
      </c>
      <c r="B5" s="13" t="n">
        <v>3</v>
      </c>
      <c r="C5" s="14" t="s">
        <v>256</v>
      </c>
    </row>
    <row r="6" customFormat="false" ht="66" hidden="false" customHeight="true" outlineLevel="0" collapsed="false">
      <c r="A6" s="14" t="s">
        <v>257</v>
      </c>
      <c r="B6" s="16" t="n">
        <f aca="false">B5/B2</f>
        <v>0.375</v>
      </c>
      <c r="C6" s="14" t="s">
        <v>258</v>
      </c>
    </row>
    <row r="7" customFormat="false" ht="66" hidden="false" customHeight="true" outlineLevel="0" collapsed="false">
      <c r="A7" s="14" t="s">
        <v>259</v>
      </c>
      <c r="B7" s="16" t="n">
        <f aca="false">(B3/B2)*(B4/B2)+(1-B3/B2)*(1-B4/B2)</f>
        <v>0.375</v>
      </c>
      <c r="C7" s="13" t="s">
        <v>260</v>
      </c>
    </row>
    <row r="8" customFormat="false" ht="66" hidden="false" customHeight="true" outlineLevel="0" collapsed="false">
      <c r="A8" s="14" t="s">
        <v>261</v>
      </c>
      <c r="B8" s="13" t="n">
        <f aca="false">(B6-B7)/(1-B7)</f>
        <v>0</v>
      </c>
      <c r="C8" s="14" t="s">
        <v>262</v>
      </c>
    </row>
    <row r="9" customFormat="false" ht="66" hidden="false" customHeight="true" outlineLevel="0" collapsed="false">
      <c r="A9" s="13" t="s">
        <v>263</v>
      </c>
      <c r="B9" s="17" t="n">
        <f aca="false">'01_逐次费用'!I10</f>
        <v>0.0155928</v>
      </c>
      <c r="C9" s="14" t="s">
        <v>264</v>
      </c>
    </row>
    <row r="10" customFormat="false" ht="66" hidden="false" customHeight="true" outlineLevel="0" collapsed="false">
      <c r="A10" s="14" t="s">
        <v>265</v>
      </c>
      <c r="B10" s="13" t="n">
        <f aca="false">COUNTIF('03_A校准与D门槛'!L2:L9,"通过")</f>
        <v>3</v>
      </c>
      <c r="C10" s="13" t="s">
        <v>266</v>
      </c>
    </row>
    <row r="11" customFormat="false" ht="66" hidden="false" customHeight="true" outlineLevel="0" collapsed="false">
      <c r="A11" s="14" t="s">
        <v>267</v>
      </c>
      <c r="B11" s="17" t="n">
        <f aca="false">IF(B10&gt;0,B9/B10,"未定义")</f>
        <v>0.0051976</v>
      </c>
      <c r="C11" s="14" t="s">
        <v>268</v>
      </c>
    </row>
    <row r="12" customFormat="false" ht="66" hidden="false" customHeight="true" outlineLevel="0" collapsed="false">
      <c r="A12" s="14" t="s">
        <v>269</v>
      </c>
      <c r="B12" s="17" t="n">
        <f aca="false">B9/B2</f>
        <v>0.0019491</v>
      </c>
      <c r="C12" s="14" t="s">
        <v>270</v>
      </c>
    </row>
    <row r="13" customFormat="false" ht="66" hidden="false" customHeight="true" outlineLevel="0" collapsed="false">
      <c r="A13" s="14" t="s">
        <v>271</v>
      </c>
      <c r="B13" s="13" t="n">
        <f aca="false">B11/B12</f>
        <v>2.66666666666667</v>
      </c>
      <c r="C13" s="14" t="s">
        <v>272</v>
      </c>
    </row>
    <row r="14" customFormat="false" ht="66" hidden="false" customHeight="true" outlineLevel="0" collapsed="false">
      <c r="A14" s="14" t="s">
        <v>273</v>
      </c>
      <c r="B14" s="13" t="n">
        <v>8</v>
      </c>
      <c r="C14" s="14" t="s">
        <v>274</v>
      </c>
    </row>
    <row r="15" customFormat="false" ht="66" hidden="false" customHeight="true" outlineLevel="0" collapsed="false">
      <c r="A15" s="13" t="s">
        <v>275</v>
      </c>
      <c r="B15" s="13" t="n">
        <v>1</v>
      </c>
      <c r="C15" s="13" t="s">
        <v>235</v>
      </c>
    </row>
    <row r="16" customFormat="false" ht="66" hidden="false" customHeight="true" outlineLevel="0" collapsed="false">
      <c r="A16" s="13" t="s">
        <v>276</v>
      </c>
      <c r="B16" s="13" t="n">
        <v>0</v>
      </c>
      <c r="C16" s="14" t="s">
        <v>277</v>
      </c>
    </row>
  </sheetData>
  <autoFilter ref="A1:C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2026-10-28T09:35:23Z</dcterms:created>
  <dc:creator>openpyxl</dc:creator>
  <dc:description/>
  <dc:language>en-US</dc:language>
  <cp:lastModifiedBy/>
  <dcterms:modified xsi:type="dcterms:W3CDTF">2026-10-28T16:22:04Z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