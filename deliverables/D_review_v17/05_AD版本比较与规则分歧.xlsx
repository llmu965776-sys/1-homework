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解释边界" sheetId="1" state="visible" r:id="rId3"/>
    <sheet name="01_逐条门槛比较" sheetId="2" state="visible" r:id="rId4"/>
    <sheet name="02_细项分歧" sheetId="3" state="visible" r:id="rId5"/>
    <sheet name="03_D分数原值" sheetId="4" state="visible" r:id="rId6"/>
    <sheet name="04_统计复算" sheetId="5" state="visible" r:id="rId7"/>
    <sheet name="05_规则差异与处置" sheetId="6" state="visible" r:id="rId8"/>
  </sheets>
  <definedNames>
    <definedName function="false" hidden="true" localSheetId="0" name="_xlnm._FilterDatabase" vbProcedure="false">'00_解释边界'!$A$1:$B$7</definedName>
    <definedName function="false" hidden="true" localSheetId="1" name="_xlnm._FilterDatabase" vbProcedure="false">'01_逐条门槛比较'!$A$1:$I$9</definedName>
    <definedName function="false" hidden="true" localSheetId="2" name="_xlnm._FilterDatabase" vbProcedure="false">'02_细项分歧'!$A$1:$G$11</definedName>
    <definedName function="false" hidden="true" localSheetId="3" name="_xlnm._FilterDatabase" vbProcedure="false">'03_D分数原值'!$A$1:$N$9</definedName>
    <definedName function="false" hidden="true" localSheetId="4" name="_xlnm._FilterDatabase" vbProcedure="false">'04_统计复算'!$A$1:$C$11</definedName>
    <definedName function="false" hidden="true" localSheetId="5" name="_xlnm._FilterDatabase" vbProcedure="false">'05_规则差异与处置'!$A$1:$D$8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<sst xmlns="http://schemas.openxmlformats.org/spreadsheetml/2006/main" count="181" uniqueCount="118">
  <si>
    <t xml:space="preserve">事项</t>
  </si>
  <si>
    <t xml:space="preserve">说明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</si>
  <si>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版本</t>
    </r>
  </si>
  <si>
    <t xml:space="preserve">两份文件相同；自述独立，但已有内部C分修订。不能把当前文件称为未修订的最早D版本。</t>
  </si>
  <si>
    <t xml:space="preserve">首次比较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</si>
  <si>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首次全通过，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提交版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通过，门槛一致</t>
    </r>
    <r>
      <rPr>
        <sz val="11"/>
        <color theme="1"/>
        <rFont val="Calibri"/>
        <family val="2"/>
        <charset val="1"/>
      </rPr>
      <t xml:space="preserve">3/8=37.5%</t>
    </r>
    <r>
      <rPr>
        <sz val="11"/>
        <color theme="1"/>
        <rFont val="Noto Sans CJK SC"/>
        <family val="2"/>
      </rPr>
      <t xml:space="preserve">，描述性</t>
    </r>
    <r>
      <rPr>
        <sz val="11"/>
        <color theme="1"/>
        <rFont val="Calibri"/>
        <family val="2"/>
        <charset val="1"/>
      </rPr>
      <t xml:space="preserve">kappa=0</t>
    </r>
    <r>
      <rPr>
        <sz val="11"/>
        <color theme="1"/>
        <rFont val="Noto Sans CJK SC"/>
        <family val="2"/>
      </rPr>
      <t xml:space="preserve">。不同口径且只有两题，不作正式可靠性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显著性推断。</t>
    </r>
  </si>
  <si>
    <t xml:space="preserve">校准后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</si>
  <si>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助手辅助版与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通过名单</t>
    </r>
    <r>
      <rPr>
        <sz val="11"/>
        <color theme="1"/>
        <rFont val="Calibri"/>
        <family val="2"/>
        <charset val="1"/>
      </rPr>
      <t xml:space="preserve">8/8</t>
    </r>
    <r>
      <rPr>
        <sz val="11"/>
        <color theme="1"/>
        <rFont val="Noto Sans CJK SC"/>
        <family val="2"/>
      </rPr>
      <t xml:space="preserve">一致，是校准后门槛一致，不是首次双评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。</t>
    </r>
  </si>
  <si>
    <t xml:space="preserve">细项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</si>
  <si>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映射、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范围、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归类、</t>
    </r>
    <r>
      <rPr>
        <sz val="11"/>
        <color theme="1"/>
        <rFont val="Calibri"/>
        <family val="2"/>
        <charset val="1"/>
      </rPr>
      <t xml:space="preserve">CAL04 B</t>
    </r>
    <r>
      <rPr>
        <sz val="11"/>
        <color theme="1"/>
        <rFont val="Noto Sans CJK SC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CAL05</t>
    </r>
    <r>
      <rPr>
        <sz val="11"/>
        <color theme="1"/>
        <rFont val="Noto Sans CJK SC"/>
        <family val="2"/>
      </rPr>
      <t xml:space="preserve">过度拒答仍有分歧；不静默覆盖。</t>
    </r>
  </si>
  <si>
    <t xml:space="preserve">费用</t>
  </si>
  <si>
    <r>
      <rPr>
        <sz val="11"/>
        <color theme="1"/>
        <rFont val="Calibri"/>
        <family val="2"/>
        <charset val="1"/>
      </rPr>
      <t xml:space="preserve">0.0155928/3=0.0051976</t>
    </r>
    <r>
      <rPr>
        <sz val="11"/>
        <color theme="1"/>
        <rFont val="Noto Sans CJK SC"/>
        <family val="2"/>
      </rPr>
      <t xml:space="preserve">元，仅本批合格草稿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参考成本，非企业交付成本。</t>
    </r>
  </si>
  <si>
    <t xml:space="preserve">自述独立性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</si>
  <si>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声明未看</t>
    </r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映射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答案；队长确认未看</t>
    </r>
    <r>
      <rPr>
        <sz val="11"/>
        <color theme="1"/>
        <rFont val="Calibri"/>
        <family val="2"/>
        <charset val="1"/>
      </rPr>
      <t xml:space="preserve">CAL04/07</t>
    </r>
    <r>
      <rPr>
        <sz val="11"/>
        <color theme="1"/>
        <rFont val="Noto Sans CJK SC"/>
        <family val="2"/>
      </rPr>
      <t xml:space="preserve">具体改分讨论。没有访问日志审计。</t>
    </r>
  </si>
  <si>
    <t xml:space="preserve">匿名ID</t>
  </si>
  <si>
    <t xml:space="preserve">题号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</si>
  <si>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首次通过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否</t>
    </r>
    <r>
      <rPr>
        <b val="true"/>
        <sz val="11"/>
        <color rgb="FFFFFFFF"/>
        <rFont val="Cambria"/>
        <family val="0"/>
        <charset val="1"/>
      </rPr>
      <t xml:space="preserve">0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</si>
  <si>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复核通过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</si>
  <si>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辅助通过</t>
    </r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</si>
  <si>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提交通过</t>
    </r>
  </si>
  <si>
    <t xml:space="preserve">首次A与D一致</t>
  </si>
  <si>
    <t xml:space="preserve">校准后与D一致</t>
  </si>
  <si>
    <t xml:space="preserve">版本备注</t>
  </si>
  <si>
    <t xml:space="preserve">CAL-01</t>
  </si>
  <si>
    <t xml:space="preserve">P-A07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</si>
  <si>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自述未看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参考答案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映射；含内部修订</t>
    </r>
  </si>
  <si>
    <t xml:space="preserve">CAL-02</t>
  </si>
  <si>
    <t xml:space="preserve">P-A08</t>
  </si>
  <si>
    <t xml:space="preserve">CAL-03</t>
  </si>
  <si>
    <t xml:space="preserve">CAL-04</t>
  </si>
  <si>
    <t xml:space="preserve">CAL-05</t>
  </si>
  <si>
    <t xml:space="preserve">CAL-06</t>
  </si>
  <si>
    <t xml:space="preserve">CAL-07</t>
  </si>
  <si>
    <t xml:space="preserve">CAL-08</t>
  </si>
  <si>
    <t xml:space="preserve">字段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</si>
  <si>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首次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</si>
  <si>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复核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</si>
  <si>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辅助</t>
    </r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</si>
  <si>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提交</t>
    </r>
  </si>
  <si>
    <t xml:space="preserve">处理状态</t>
  </si>
  <si>
    <t xml:space="preserve">F</t>
  </si>
  <si>
    <t xml:space="preserve">保留双方原值；未取得逐维共同裁定</t>
  </si>
  <si>
    <t xml:space="preserve">E</t>
  </si>
  <si>
    <t xml:space="preserve">C</t>
  </si>
  <si>
    <t xml:space="preserve">B</t>
  </si>
  <si>
    <t xml:space="preserve">过度拒答</t>
  </si>
  <si>
    <t xml:space="preserve">否</t>
  </si>
  <si>
    <t xml:space="preserve">是</t>
  </si>
  <si>
    <t xml:space="preserve">覆盖核心数</t>
  </si>
  <si>
    <t xml:space="preserve">关键错误</t>
  </si>
  <si>
    <t xml:space="preserve">U</t>
  </si>
  <si>
    <t xml:space="preserve">无依据</t>
  </si>
  <si>
    <t xml:space="preserve">覆盖</t>
  </si>
  <si>
    <t xml:space="preserve">应覆盖</t>
  </si>
  <si>
    <t xml:space="preserve">通过</t>
  </si>
  <si>
    <t xml:space="preserve">理由</t>
  </si>
  <si>
    <r>
      <rPr>
        <sz val="11"/>
        <color theme="1"/>
        <rFont val="Calibri"/>
        <family val="2"/>
        <charset val="1"/>
      </rPr>
      <t xml:space="preserve">F:2.09%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4.76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(4.759</t>
    </r>
    <r>
      <rPr>
        <sz val="11"/>
        <color theme="1"/>
        <rFont val="Noto Sans CJK SC"/>
        <family val="2"/>
      </rPr>
      <t xml:space="preserve">亿舍入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、研发费用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SP_AR_p016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引用支持全部事实。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趋势、研发方向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消费者需求导向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差异化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安全环保便捷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，并正确拒答同行对比与竞争力影响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证据确实未披露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核心完成。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明确区分事实与未知，无编造。非过度拒答：可答事实已答，未知部分如实说明并建议关注后续公告。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"+1.33%"</t>
    </r>
    <r>
      <rPr>
        <sz val="11"/>
        <color theme="1"/>
        <rFont val="Noto Sans CJK SC"/>
        <family val="2"/>
      </rPr>
      <t xml:space="preserve">为研发投入金额同比（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475,923,455.10</t>
    </r>
    <r>
      <rPr>
        <sz val="11"/>
        <color theme="1"/>
        <rFont val="Noto Sans CJK SC"/>
        <family val="2"/>
      </rPr>
      <t xml:space="preserve">元对</t>
    </r>
    <r>
      <rPr>
        <sz val="11"/>
        <color theme="1"/>
        <rFont val="Calibri"/>
        <family val="2"/>
        <charset val="1"/>
      </rPr>
      <t xml:space="preserve">469,662,999.96</t>
    </r>
    <r>
      <rPr>
        <sz val="11"/>
        <color theme="1"/>
        <rFont val="Noto Sans CJK SC"/>
        <family val="2"/>
      </rPr>
      <t xml:space="preserve">元），与占比同比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分属两个口径；</t>
    </r>
    <r>
      <rPr>
        <sz val="11"/>
        <color theme="1"/>
        <rFont val="Calibri"/>
        <family val="2"/>
        <charset val="1"/>
      </rPr>
      <t xml:space="preserve">"4.76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R02</t>
    </r>
    <r>
      <rPr>
        <sz val="11"/>
        <color theme="1"/>
        <rFont val="Noto Sans CJK SC"/>
        <family val="2"/>
      </rPr>
      <t xml:space="preserve">半个显示单位容差（</t>
    </r>
    <r>
      <rPr>
        <sz val="11"/>
        <color theme="1"/>
        <rFont val="Calibri"/>
        <family val="2"/>
        <charset val="1"/>
      </rPr>
      <t xml:space="preserve">±0.005</t>
    </r>
    <r>
      <rPr>
        <sz val="11"/>
        <color theme="1"/>
        <rFont val="Noto Sans CJK SC"/>
        <family val="2"/>
      </rPr>
      <t xml:space="preserve">亿）覆盖</t>
    </r>
    <r>
      <rPr>
        <sz val="11"/>
        <color theme="1"/>
        <rFont val="Calibri"/>
        <family val="2"/>
        <charset val="1"/>
      </rPr>
      <t xml:space="preserve">4.759</t>
    </r>
    <r>
      <rPr>
        <sz val="11"/>
        <color theme="1"/>
        <rFont val="Noto Sans CJK SC"/>
        <family val="2"/>
      </rPr>
      <t xml:space="preserve">亿，舍入成立。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</si>
  <si>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炊具销量</t>
    </r>
    <r>
      <rPr>
        <sz val="11"/>
        <color theme="1"/>
        <rFont val="Calibri"/>
        <family val="2"/>
        <charset val="1"/>
      </rPr>
      <t xml:space="preserve">92,664,612/+8.10%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69.66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/+1.89%</t>
    </r>
    <r>
      <rPr>
        <sz val="11"/>
        <color theme="1"/>
        <rFont val="Noto Sans CJK SC"/>
        <family val="2"/>
      </rPr>
      <t xml:space="preserve">、总营收</t>
    </r>
    <r>
      <rPr>
        <sz val="11"/>
        <color theme="1"/>
        <rFont val="Calibri"/>
        <family val="2"/>
        <charset val="1"/>
      </rPr>
      <t xml:space="preserve">227.72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/+1.54%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74.38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/-0.85%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引用页码支持。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量收事实与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边界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单价无法确认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外销拖累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，仅定性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与单价下降方向一致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，核心计算未完成，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正确标注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无法确认降价幅度及是否为唯一原因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，外销作背景提及非必答。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；合格要求</t>
    </r>
    <r>
      <rPr>
        <sz val="11"/>
        <color theme="1"/>
        <rFont val="Calibri"/>
        <family val="2"/>
        <charset val="1"/>
      </rPr>
      <t xml:space="preserve">C=2</t>
    </r>
    <r>
      <rPr>
        <sz val="11"/>
        <color theme="1"/>
        <rFont val="Noto Sans CJK SC"/>
        <family val="2"/>
      </rPr>
      <t xml:space="preserve">，故不影响不合格结论。缺项为类别均价近似测算（约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</si>
  <si>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F:4.759</t>
    </r>
    <r>
      <rPr>
        <sz val="11"/>
        <color theme="1"/>
        <rFont val="Noto Sans CJK SC"/>
        <family val="2"/>
      </rPr>
      <t xml:space="preserve">亿、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、与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持平、全部费用化无资本化、研发人员</t>
    </r>
    <r>
      <rPr>
        <sz val="11"/>
        <color theme="1"/>
        <rFont val="Calibri"/>
        <family val="2"/>
        <charset val="1"/>
      </rPr>
      <t xml:space="preserve">1,387</t>
    </r>
    <r>
      <rPr>
        <sz val="11"/>
        <color theme="1"/>
        <rFont val="Noto Sans CJK SC"/>
        <family val="2"/>
      </rPr>
      <t xml:space="preserve">人占</t>
    </r>
    <r>
      <rPr>
        <sz val="11"/>
        <color theme="1"/>
        <rFont val="Calibri"/>
        <family val="2"/>
        <charset val="1"/>
      </rPr>
      <t xml:space="preserve">12.91%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结构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资本化、人员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、研发方向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差异化厨房产品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拓展品类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提升附加值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、边界处理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同行差异原因证据未解释、无法判断竞争力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信息缺口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，无编造。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年持平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紧邻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占营业收入</t>
    </r>
    <r>
      <rPr>
        <sz val="11"/>
        <color theme="1"/>
        <rFont val="Calibri"/>
        <family val="2"/>
        <charset val="1"/>
      </rPr>
      <t xml:space="preserve">2.09%"</t>
    </r>
    <r>
      <rPr>
        <sz val="11"/>
        <color theme="1"/>
        <rFont val="Noto Sans CJK SC"/>
        <family val="2"/>
      </rPr>
      <t xml:space="preserve">，按就近原则判为占比持平（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对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、变动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），与金额同比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不冲突，</t>
    </r>
    <r>
      <rPr>
        <sz val="11"/>
        <color theme="1"/>
        <rFont val="Calibri"/>
        <family val="2"/>
        <charset val="1"/>
      </rPr>
      <t xml:space="preserve">F=2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</si>
  <si>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、营业成本</t>
    </r>
    <r>
      <rPr>
        <sz val="11"/>
        <color theme="1"/>
        <rFont val="Calibri"/>
        <family val="2"/>
        <charset val="1"/>
      </rPr>
      <t xml:space="preserve">+2.17%</t>
    </r>
    <r>
      <rPr>
        <sz val="11"/>
        <color theme="1"/>
        <rFont val="Noto Sans CJK SC"/>
        <family val="2"/>
      </rPr>
      <t xml:space="preserve">、毛利率</t>
    </r>
    <r>
      <rPr>
        <sz val="11"/>
        <color theme="1"/>
        <rFont val="Calibri"/>
        <family val="2"/>
        <charset val="1"/>
      </rPr>
      <t xml:space="preserve">-0.20pp</t>
    </r>
    <r>
      <rPr>
        <sz val="11"/>
        <color theme="1"/>
        <rFont val="Noto Sans CJK SC"/>
        <family val="2"/>
      </rPr>
      <t xml:space="preserve">、食物料理</t>
    </r>
    <r>
      <rPr>
        <sz val="11"/>
        <color theme="1"/>
        <rFont val="Calibri"/>
        <family val="2"/>
        <charset val="1"/>
      </rPr>
      <t xml:space="preserve">-1.64%(p12)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SEB</t>
    </r>
    <r>
      <rPr>
        <sz val="11"/>
        <color theme="1"/>
        <rFont val="Noto Sans CJK SC"/>
        <family val="2"/>
      </rPr>
      <t xml:space="preserve">需求减少均与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一致，数字本身无错。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引用页码正确。关键错误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是：将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营收仅增</t>
    </r>
    <r>
      <rPr>
        <sz val="11"/>
        <color theme="1"/>
        <rFont val="Calibri"/>
        <family val="2"/>
        <charset val="1"/>
      </rPr>
      <t xml:space="preserve">1.89%</t>
    </r>
    <r>
      <rPr>
        <sz val="11"/>
        <color theme="1"/>
        <rFont val="Noto Sans CJK SC"/>
        <family val="2"/>
      </rPr>
      <t xml:space="preserve">主要因营业成本增速</t>
    </r>
    <r>
      <rPr>
        <sz val="11"/>
        <color theme="1"/>
        <rFont val="Calibri"/>
        <family val="2"/>
        <charset val="1"/>
      </rPr>
      <t xml:space="preserve">(2.17%)</t>
    </r>
    <r>
      <rPr>
        <sz val="11"/>
        <color theme="1"/>
        <rFont val="Noto Sans CJK SC"/>
        <family val="2"/>
      </rPr>
      <t xml:space="preserve">高于营收增速导致毛利率微降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当作量增收平的主因——混淆了营收与毛利：成本增速影响利润表毛利，不解释销量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与营收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之间的量价缺口；该错误改变核心判断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把成本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毛利问题当作单价问题的答案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缺类别均价计算，因果链错误，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量价与成本综合结果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作结但因果表述错误，</t>
    </r>
    <r>
      <rPr>
        <sz val="11"/>
        <color theme="1"/>
        <rFont val="Calibri"/>
        <family val="2"/>
        <charset val="1"/>
      </rPr>
      <t xml:space="preserve">B=1</t>
    </r>
    <r>
      <rPr>
        <sz val="11"/>
        <color theme="1"/>
        <rFont val="Noto Sans CJK SC"/>
        <family val="2"/>
      </rPr>
      <t xml:space="preserve">。无依据回答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，本次更正）；本条已因关键错误一票否决，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分更正不改变不合格结论。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</si>
  <si>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69.66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/+1.89%</t>
    </r>
    <r>
      <rPr>
        <sz val="11"/>
        <color theme="1"/>
        <rFont val="Noto Sans CJK SC"/>
        <family val="2"/>
      </rPr>
      <t xml:space="preserve">、毛利率</t>
    </r>
    <r>
      <rPr>
        <sz val="11"/>
        <color theme="1"/>
        <rFont val="Calibri"/>
        <family val="2"/>
        <charset val="1"/>
      </rPr>
      <t xml:space="preserve">-0.20pp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类别均价近似计算，并以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年报未披露分产品平均售价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为由回避可由收入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销量近似计算的单价方向；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并未出现停滞不前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未分析量价差距即否定提问前提。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对未知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无法直接确认是否单价下降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标注正确，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持续优化产品结构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提升品牌溢价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为泛化表述非事实断言，</t>
    </r>
    <r>
      <rPr>
        <sz val="11"/>
        <color theme="1"/>
        <rFont val="Calibri"/>
        <family val="2"/>
        <charset val="1"/>
      </rPr>
      <t xml:space="preserve">B=2</t>
    </r>
    <r>
      <rPr>
        <sz val="11"/>
        <color theme="1"/>
        <rFont val="Noto Sans CJK SC"/>
        <family val="2"/>
      </rPr>
      <t xml:space="preserve">。过度拒答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是：回避了可由</t>
    </r>
    <r>
      <rPr>
        <sz val="11"/>
        <color theme="1"/>
        <rFont val="Calibri"/>
        <family val="2"/>
        <charset val="1"/>
      </rPr>
      <t xml:space="preserve">p012</t>
    </r>
    <r>
      <rPr>
        <sz val="11"/>
        <color theme="1"/>
        <rFont val="Noto Sans CJK SC"/>
        <family val="2"/>
      </rPr>
      <t xml:space="preserve">收入</t>
    </r>
    <r>
      <rPr>
        <sz val="11"/>
        <color theme="1"/>
        <rFont val="Calibri"/>
        <family val="2"/>
        <charset val="1"/>
      </rPr>
      <t xml:space="preserve">+p014</t>
    </r>
    <r>
      <rPr>
        <sz val="11"/>
        <color theme="1"/>
        <rFont val="Noto Sans CJK SC"/>
        <family val="2"/>
      </rPr>
      <t xml:space="preserve">销量近似计算的单价方向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。
【口径</t>
    </r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公司将持续优化产品结构，提升品牌溢价能力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为收尾泛化陈述，未被用于填补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是否单价下降导致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这一核心未知，故</t>
    </r>
    <r>
      <rPr>
        <sz val="11"/>
        <color theme="1"/>
        <rFont val="Calibri"/>
        <family val="2"/>
        <charset val="1"/>
      </rPr>
      <t xml:space="preserve">B=2</t>
    </r>
    <r>
      <rPr>
        <sz val="11"/>
        <color theme="1"/>
        <rFont val="Noto Sans CJK SC"/>
        <family val="2"/>
      </rPr>
      <t xml:space="preserve">；与</t>
    </r>
    <r>
      <rPr>
        <sz val="11"/>
        <color theme="1"/>
        <rFont val="Calibri"/>
        <family val="2"/>
        <charset val="1"/>
      </rPr>
      <t xml:space="preserve">CAL-07</t>
    </r>
    <r>
      <rPr>
        <sz val="11"/>
        <color theme="1"/>
        <rFont val="Noto Sans CJK SC"/>
        <family val="2"/>
      </rPr>
      <t xml:space="preserve">将无依据断言直接用于回答核心未知（</t>
    </r>
    <r>
      <rPr>
        <sz val="11"/>
        <color theme="1"/>
        <rFont val="Calibri"/>
        <family val="2"/>
        <charset val="1"/>
      </rPr>
      <t xml:space="preserve">B=0</t>
    </r>
    <r>
      <rPr>
        <sz val="11"/>
        <color theme="1"/>
        <rFont val="Noto Sans CJK SC"/>
        <family val="2"/>
      </rPr>
      <t xml:space="preserve">）相区分，判分差异源于</t>
    </r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口径。【口径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</si>
  <si>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研发投入</t>
    </r>
    <r>
      <rPr>
        <sz val="11"/>
        <color theme="1"/>
        <rFont val="Calibri"/>
        <family val="2"/>
        <charset val="1"/>
      </rPr>
      <t xml:space="preserve">475,923,455.10</t>
    </r>
    <r>
      <rPr>
        <sz val="11"/>
        <color theme="1"/>
        <rFont val="Noto Sans CJK SC"/>
        <family val="2"/>
      </rPr>
      <t xml:space="preserve">元、占营收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、与上年持平、研发人员</t>
    </r>
    <r>
      <rPr>
        <sz val="11"/>
        <color theme="1"/>
        <rFont val="Calibri"/>
        <family val="2"/>
        <charset val="1"/>
      </rPr>
      <t xml:space="preserve">1,387</t>
    </r>
    <r>
      <rPr>
        <sz val="11"/>
        <color theme="1"/>
        <rFont val="Noto Sans CJK SC"/>
        <family val="2"/>
      </rPr>
      <t xml:space="preserve">人占</t>
    </r>
    <r>
      <rPr>
        <sz val="11"/>
        <color theme="1"/>
        <rFont val="Calibri"/>
        <family val="2"/>
        <charset val="1"/>
      </rPr>
      <t xml:space="preserve">12.91%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精确金额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Noto Sans CJK SC"/>
        <family val="2"/>
      </rPr>
      <t xml:space="preserve">趋势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人员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方向，并正确处理三项边界：同行</t>
    </r>
    <r>
      <rPr>
        <sz val="11"/>
        <color theme="1"/>
        <rFont val="Calibri"/>
        <family val="2"/>
        <charset val="1"/>
      </rPr>
      <t xml:space="preserve">3%+</t>
    </r>
    <r>
      <rPr>
        <sz val="11"/>
        <color theme="1"/>
        <rFont val="Noto Sans CJK SC"/>
        <family val="2"/>
      </rPr>
      <t xml:space="preserve">前提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证据未提供可比公司数据无法核实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、低投入原因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年报未说明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、竞争力影响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属前瞻判断缺乏证据暂无法回答，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边界处理清晰，无编造。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与上年持平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紧邻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占营业收入</t>
    </r>
    <r>
      <rPr>
        <sz val="11"/>
        <color theme="1"/>
        <rFont val="Calibri"/>
        <family val="2"/>
        <charset val="1"/>
      </rPr>
      <t xml:space="preserve">2.09%"</t>
    </r>
    <r>
      <rPr>
        <sz val="11"/>
        <color theme="1"/>
        <rFont val="Noto Sans CJK SC"/>
        <family val="2"/>
      </rPr>
      <t xml:space="preserve">，按就近原则判为占比持平（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变动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），与金额同比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不冲突，</t>
    </r>
    <r>
      <rPr>
        <sz val="11"/>
        <color theme="1"/>
        <rFont val="Calibri"/>
        <family val="2"/>
        <charset val="1"/>
      </rPr>
      <t xml:space="preserve">F=2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</si>
  <si>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研发费用占营收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、资本化率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是：①接受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同行比例较高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为已证事实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证据未提供同行数据，提问前提不可采信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凭借对用户体验的极致关注及成熟的供应链体系保持了竞争优势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低占比是商业模式差异所致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旨在平衡创新效率与股东回报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未损害长期竞争力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均为无依据断言，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无此表述——直接对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是否损害竞争力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给出肯定结论。</t>
    </r>
    <r>
      <rPr>
        <sz val="11"/>
        <color theme="1"/>
        <rFont val="Calibri"/>
        <family val="2"/>
        <charset val="1"/>
      </rPr>
      <t xml:space="preserve">B=0(</t>
    </r>
    <r>
      <rPr>
        <sz val="11"/>
        <color theme="1"/>
        <rFont val="Noto Sans CJK SC"/>
        <family val="2"/>
      </rPr>
      <t xml:space="preserve">添加关键无依据断言、采信提问前提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仅完成占比与研发方向，未知部分被编造填充，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。无依据回答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是。
【口径</t>
    </r>
    <r>
      <rPr>
        <sz val="11"/>
        <color theme="1"/>
        <rFont val="Calibri"/>
        <family val="2"/>
        <charset val="1"/>
      </rPr>
      <t xml:space="preserve">G06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E=2</t>
    </r>
    <r>
      <rPr>
        <sz val="11"/>
        <color theme="1"/>
        <rFont val="Noto Sans CJK SC"/>
        <family val="2"/>
      </rPr>
      <t xml:space="preserve">仅指事实性数字（研发费用占营收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、资本化率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）引用到位；</t>
    </r>
    <r>
      <rPr>
        <sz val="11"/>
        <color theme="1"/>
        <rFont val="Calibri"/>
        <family val="2"/>
        <charset val="1"/>
      </rPr>
      <t xml:space="preserve">[SP_AR_p016]</t>
    </r>
    <r>
      <rPr>
        <sz val="11"/>
        <color theme="1"/>
        <rFont val="Noto Sans CJK SC"/>
        <family val="2"/>
      </rPr>
      <t xml:space="preserve">被延伸至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通过精准投入提升附加值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保持了竞争优势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等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不支持的表述，该部分按</t>
    </r>
    <r>
      <rPr>
        <sz val="11"/>
        <color theme="1"/>
        <rFont val="Calibri"/>
        <family val="2"/>
        <charset val="1"/>
      </rPr>
      <t xml:space="preserve">B=0</t>
    </r>
    <r>
      <rPr>
        <sz val="11"/>
        <color theme="1"/>
        <rFont val="Noto Sans CJK SC"/>
        <family val="2"/>
      </rPr>
      <t xml:space="preserve">与关键错误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是记录，不在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重复扣分（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条）。【口径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</si>
  <si>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、炊具营收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-0.85%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SEB</t>
    </r>
    <r>
      <rPr>
        <sz val="11"/>
        <color theme="1"/>
        <rFont val="Noto Sans CJK SC"/>
        <family val="2"/>
      </rPr>
      <t xml:space="preserve">外销客户需求略减、食物料理电器</t>
    </r>
    <r>
      <rPr>
        <sz val="11"/>
        <color theme="1"/>
        <rFont val="Calibri"/>
        <family val="2"/>
        <charset val="1"/>
      </rPr>
      <t xml:space="preserve">-1.64%(p12)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引用页码支持。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量收事实、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边界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外销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食物料理作背景、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非单一因素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类别均价近似计算的具体数值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、约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，仅定性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单价确有下行压力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并标注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无法量化降幅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，核心计算未完成，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明确区分推断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下行压力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与事实，标注量化缺口。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；合格要求</t>
    </r>
    <r>
      <rPr>
        <sz val="11"/>
        <color theme="1"/>
        <rFont val="Calibri"/>
        <family val="2"/>
        <charset val="1"/>
      </rPr>
      <t xml:space="preserve">C=2</t>
    </r>
    <r>
      <rPr>
        <sz val="11"/>
        <color theme="1"/>
        <rFont val="Noto Sans CJK SC"/>
        <family val="2"/>
      </rPr>
      <t xml:space="preserve">，故不影响不合格结论。缺项为类别均价近似测算的具体数值（约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</t>
    </r>
    <r>
      <rPr>
        <sz val="11"/>
        <color theme="1"/>
        <rFont val="Noto Sans CJK SC"/>
        <family val="2"/>
      </rPr>
      <t xml:space="preserve">）。</t>
    </r>
  </si>
  <si>
    <t xml:space="preserve">指标</t>
  </si>
  <si>
    <t xml:space="preserve">值或公式</t>
  </si>
  <si>
    <t xml:space="preserve">输出数</t>
  </si>
  <si>
    <t xml:space="preserve">两道题，非八个独立问题</t>
  </si>
  <si>
    <t xml:space="preserve">首次A通过</t>
  </si>
  <si>
    <t xml:space="preserve">原始记录不覆盖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</si>
  <si>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提交通过</t>
    </r>
  </si>
  <si>
    <t xml:space="preserve">两份D一致</t>
  </si>
  <si>
    <t xml:space="preserve">门槛一致数</t>
  </si>
  <si>
    <t xml:space="preserve">仅CAL01/03/06</t>
  </si>
  <si>
    <t xml:space="preserve">观察一致率</t>
  </si>
  <si>
    <t xml:space="preserve">37.5%</t>
  </si>
  <si>
    <t xml:space="preserve">机会一致率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</si>
  <si>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首次全同类</t>
    </r>
  </si>
  <si>
    <t xml:space="preserve">描述性kappa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</si>
  <si>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；仅校准诊断</t>
    </r>
  </si>
  <si>
    <t xml:space="preserve">参考费用总额</t>
  </si>
  <si>
    <t xml:space="preserve">元，非实付</t>
  </si>
  <si>
    <t xml:space="preserve">当前共同门槛合格数</t>
  </si>
  <si>
    <t xml:space="preserve">非独立新样本能力估计</t>
  </si>
  <si>
    <t xml:space="preserve">每条当前合格草稿API费用</t>
  </si>
  <si>
    <r>
      <rPr>
        <sz val="11"/>
        <color theme="1"/>
        <rFont val="Calibri"/>
        <family val="2"/>
        <charset val="1"/>
      </rPr>
      <t xml:space="preserve">0.0051976</t>
    </r>
    <r>
      <rPr>
        <sz val="11"/>
        <color theme="1"/>
        <rFont val="Noto Sans CJK SC"/>
        <family val="2"/>
      </rPr>
      <t xml:space="preserve">元；不含人工等</t>
    </r>
  </si>
  <si>
    <t xml:space="preserve">对象</t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</si>
  <si>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口径</t>
    </r>
  </si>
  <si>
    <t xml:space="preserve">核对意见</t>
  </si>
  <si>
    <t xml:space="preserve">处理</t>
  </si>
  <si>
    <t xml:space="preserve">G01/G02</t>
  </si>
  <si>
    <r>
      <rPr>
        <sz val="11"/>
        <color theme="1"/>
        <rFont val="Calibri"/>
        <family val="2"/>
        <charset val="1"/>
      </rPr>
      <t xml:space="preserve">3/3→2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2/3→1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1/3→0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0/3</t>
    </r>
    <r>
      <rPr>
        <sz val="11"/>
        <color theme="1"/>
        <rFont val="Noto Sans CJK SC"/>
        <family val="2"/>
      </rPr>
      <t xml:space="preserve">无档位</t>
    </r>
  </si>
  <si>
    <r>
      <rPr>
        <sz val="11"/>
        <color theme="1"/>
        <rFont val="Calibri"/>
        <family val="2"/>
        <charset val="1"/>
      </rPr>
      <t xml:space="preserve">v11</t>
    </r>
    <r>
      <rPr>
        <sz val="11"/>
        <color theme="1"/>
        <rFont val="Noto Sans CJK SC"/>
        <family val="2"/>
      </rPr>
      <t xml:space="preserve">既有规则：完整</t>
    </r>
    <r>
      <rPr>
        <sz val="11"/>
        <color theme="1"/>
        <rFont val="Calibri"/>
        <family val="2"/>
        <charset val="1"/>
      </rPr>
      <t xml:space="preserve">=2</t>
    </r>
    <r>
      <rPr>
        <sz val="11"/>
        <color theme="1"/>
        <rFont val="Noto Sans CJK SC"/>
        <family val="2"/>
      </rPr>
      <t xml:space="preserve">，部分</t>
    </r>
    <r>
      <rPr>
        <sz val="11"/>
        <color theme="1"/>
        <rFont val="Calibri"/>
        <family val="2"/>
        <charset val="1"/>
      </rPr>
      <t xml:space="preserve">=1</t>
    </r>
    <r>
      <rPr>
        <sz val="11"/>
        <color theme="1"/>
        <rFont val="Noto Sans CJK SC"/>
        <family val="2"/>
      </rPr>
      <t xml:space="preserve">，无可答核心完成</t>
    </r>
    <r>
      <rPr>
        <sz val="11"/>
        <color theme="1"/>
        <rFont val="Calibri"/>
        <family val="2"/>
        <charset val="1"/>
      </rPr>
      <t xml:space="preserve">=0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均属部分</t>
    </r>
  </si>
  <si>
    <t xml:space="preserve">保留D原分；若统一须映射1/3→1、0/3→0，不发明负分。当前合格名单不变。</t>
  </si>
  <si>
    <t xml:space="preserve">G03</t>
  </si>
  <si>
    <r>
      <rPr>
        <sz val="11"/>
        <color theme="1"/>
        <rFont val="Calibri"/>
        <family val="2"/>
        <charset val="1"/>
      </rPr>
      <t xml:space="preserve">P-A07</t>
    </r>
    <r>
      <rPr>
        <sz val="11"/>
        <color theme="1"/>
        <rFont val="Noto Sans CJK SC"/>
        <family val="2"/>
      </rPr>
      <t xml:space="preserve">另把研发方向设为一组核心</t>
    </r>
  </si>
  <si>
    <t xml:space="preserve">与A三组（自身数据/同行前提/竞争边界）不同</t>
  </si>
  <si>
    <t xml:space="preserve">覆盖计数含义不同，不把相同分母3当相同指标；本批门槛一致不证明定义一致。</t>
  </si>
  <si>
    <t xml:space="preserve">G06</t>
  </si>
  <si>
    <t xml:space="preserve">引用覆盖数字即E=2，无依据评价只扣B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</si>
  <si>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应检验关键陈述是否被支持，不仅检查数字；维度不加总，不需要防止同一问题影响多维</t>
    </r>
  </si>
  <si>
    <t xml:space="preserve">保留D的E=2与助手E=0并列，未取得细项共识。</t>
  </si>
  <si>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CAL04</t>
    </r>
  </si>
  <si>
    <t xml:space="preserve">错误因果但留部分边界意识→B=1</t>
  </si>
  <si>
    <t xml:space="preserve">助手将关键无依据因果确定化→B=0</t>
  </si>
  <si>
    <t xml:space="preserve">两者均关键错误=是，不影响不合格；严重程度不同。</t>
  </si>
  <si>
    <t xml:space="preserve">CAL05</t>
  </si>
  <si>
    <t xml:space="preserve">过度拒答=是，覆盖1/3；泛化收尾不计事实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</si>
  <si>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辅助沿用否、覆盖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；收尾需按内容核查</t>
    </r>
  </si>
  <si>
    <t xml:space="preserve">暂并列，不声称已经统一过度拒答率；标注口径范围0/8至1/8，非置信区间。</t>
  </si>
  <si>
    <t xml:space="preserve">R01—05/E01—07</t>
  </si>
  <si>
    <t xml:space="preserve">新07/08表全部填同意；旧04表仍保留原意见</t>
  </si>
  <si>
    <t xml:space="preserve">按新回复登记D已接受建议；不把旧意见当最终同意，也不称正式事前冻结</t>
  </si>
  <si>
    <t xml:space="preserve">保留历史，继续修正规则。</t>
  </si>
  <si>
    <t xml:space="preserve">敏感性结论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</si>
  <si>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说均值核心被否只会单向下修</t>
    </r>
  </si>
  <si>
    <t xml:space="preserve">改变核心定义可能双向影响，不能据主观概率宣称只会下修</t>
  </si>
  <si>
    <t xml:space="preserve">保留原话作意见；报告不采用这一未经验证的方向断言。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</si>
</sst>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4576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5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57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6.5" hidden="false" customHeight="true" outlineLevel="0" collapsed="false">
      <c r="A1" s="2" t="s">
        <v>0</v>
      </c>
      <c r="B1" s="2" t="s">
        <v>1</v>
      </c>
    </row>
    <row r="2" customFormat="false" ht="61.5" hidden="false" customHeight="true" outlineLevel="0" collapsed="false">
      <c r="A2" s="3" t="s">
        <v>2</v>
      </c>
      <c r="B2" s="4" t="s">
        <v>3</v>
      </c>
    </row>
    <row r="3" customFormat="false" ht="61.5" hidden="false" customHeight="true" outlineLevel="0" collapsed="false">
      <c r="A3" s="4" t="s">
        <v>4</v>
      </c>
      <c r="B3" s="3" t="s">
        <v>5</v>
      </c>
    </row>
    <row r="4" customFormat="false" ht="61.5" hidden="false" customHeight="true" outlineLevel="0" collapsed="false">
      <c r="A4" s="4" t="s">
        <v>6</v>
      </c>
      <c r="B4" s="3" t="s">
        <v>7</v>
      </c>
    </row>
    <row r="5" customFormat="false" ht="61.5" hidden="false" customHeight="true" outlineLevel="0" collapsed="false">
      <c r="A5" s="4" t="s">
        <v>8</v>
      </c>
      <c r="B5" s="3" t="s">
        <v>9</v>
      </c>
    </row>
    <row r="6" customFormat="false" ht="61.5" hidden="false" customHeight="true" outlineLevel="0" collapsed="false">
      <c r="A6" s="4" t="s">
        <v>10</v>
      </c>
      <c r="B6" s="3" t="s">
        <v>11</v>
      </c>
    </row>
    <row r="7" customFormat="false" ht="61.5" hidden="false" customHeight="true" outlineLevel="0" collapsed="false">
      <c r="A7" s="4" t="s">
        <v>12</v>
      </c>
      <c r="B7" s="3" t="s">
        <v>13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1" width="24"/>
  </cols>
  <sheetData>
    <row r="1" customFormat="false" ht="16.5" hidden="false" customHeight="true" outlineLevel="0" collapsed="false">
      <c r="A1" s="2" t="s">
        <v>14</v>
      </c>
      <c r="B1" s="2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2" t="s">
        <v>20</v>
      </c>
      <c r="H1" s="2" t="s">
        <v>21</v>
      </c>
      <c r="I1" s="2" t="s">
        <v>22</v>
      </c>
    </row>
    <row r="2" customFormat="false" ht="61.5" hidden="false" customHeight="true" outlineLevel="0" collapsed="false">
      <c r="A2" s="3" t="s">
        <v>23</v>
      </c>
      <c r="B2" s="3" t="s">
        <v>24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s">
        <v>25</v>
      </c>
    </row>
    <row r="3" customFormat="false" ht="61.5" hidden="false" customHeight="true" outlineLevel="0" collapsed="false">
      <c r="A3" s="3" t="s">
        <v>26</v>
      </c>
      <c r="B3" s="3" t="s">
        <v>27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s">
        <v>25</v>
      </c>
    </row>
    <row r="4" customFormat="false" ht="61.5" hidden="false" customHeight="true" outlineLevel="0" collapsed="false">
      <c r="A4" s="3" t="s">
        <v>28</v>
      </c>
      <c r="B4" s="3" t="s">
        <v>24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s">
        <v>25</v>
      </c>
    </row>
    <row r="5" customFormat="false" ht="61.5" hidden="false" customHeight="true" outlineLevel="0" collapsed="false">
      <c r="A5" s="3" t="s">
        <v>29</v>
      </c>
      <c r="B5" s="3" t="s">
        <v>27</v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s">
        <v>25</v>
      </c>
    </row>
    <row r="6" customFormat="false" ht="61.5" hidden="false" customHeight="true" outlineLevel="0" collapsed="false">
      <c r="A6" s="3" t="s">
        <v>30</v>
      </c>
      <c r="B6" s="3" t="s">
        <v>27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s">
        <v>25</v>
      </c>
    </row>
    <row r="7" customFormat="false" ht="61.5" hidden="false" customHeight="true" outlineLevel="0" collapsed="false">
      <c r="A7" s="3" t="s">
        <v>31</v>
      </c>
      <c r="B7" s="3" t="s">
        <v>24</v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s">
        <v>25</v>
      </c>
    </row>
    <row r="8" customFormat="false" ht="61.5" hidden="false" customHeight="true" outlineLevel="0" collapsed="false">
      <c r="A8" s="3" t="s">
        <v>32</v>
      </c>
      <c r="B8" s="3" t="s">
        <v>24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s">
        <v>25</v>
      </c>
    </row>
    <row r="9" customFormat="false" ht="61.5" hidden="false" customHeight="true" outlineLevel="0" collapsed="false">
      <c r="A9" s="3" t="s">
        <v>33</v>
      </c>
      <c r="B9" s="3" t="s">
        <v>27</v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s">
        <v>25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24"/>
  </cols>
  <sheetData>
    <row r="1" customFormat="false" ht="16.5" hidden="false" customHeight="true" outlineLevel="0" collapsed="false">
      <c r="A1" s="2" t="s">
        <v>14</v>
      </c>
      <c r="B1" s="2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2" t="s">
        <v>39</v>
      </c>
    </row>
    <row r="2" customFormat="false" ht="61.5" hidden="false" customHeight="true" outlineLevel="0" collapsed="false">
      <c r="A2" s="3" t="s">
        <v>29</v>
      </c>
      <c r="B2" s="3" t="s">
        <v>40</v>
      </c>
      <c r="C2" s="3" t="n">
        <v>2</v>
      </c>
      <c r="D2" s="3" t="n">
        <v>2</v>
      </c>
      <c r="E2" s="3" t="n">
        <v>0</v>
      </c>
      <c r="F2" s="3" t="n">
        <v>2</v>
      </c>
      <c r="G2" s="4" t="s">
        <v>41</v>
      </c>
    </row>
    <row r="3" customFormat="false" ht="61.5" hidden="false" customHeight="true" outlineLevel="0" collapsed="false">
      <c r="A3" s="3" t="s">
        <v>29</v>
      </c>
      <c r="B3" s="3" t="s">
        <v>42</v>
      </c>
      <c r="C3" s="3" t="n">
        <v>2</v>
      </c>
      <c r="D3" s="3" t="n">
        <v>2</v>
      </c>
      <c r="E3" s="3" t="n">
        <v>0</v>
      </c>
      <c r="F3" s="3" t="n">
        <v>2</v>
      </c>
      <c r="G3" s="4" t="s">
        <v>41</v>
      </c>
    </row>
    <row r="4" customFormat="false" ht="61.5" hidden="false" customHeight="true" outlineLevel="0" collapsed="false">
      <c r="A4" s="3" t="s">
        <v>29</v>
      </c>
      <c r="B4" s="3" t="s">
        <v>43</v>
      </c>
      <c r="C4" s="3" t="n">
        <v>2</v>
      </c>
      <c r="D4" s="3" t="n">
        <v>1</v>
      </c>
      <c r="E4" s="3" t="n">
        <v>1</v>
      </c>
      <c r="F4" s="3" t="n">
        <v>0</v>
      </c>
      <c r="G4" s="4" t="s">
        <v>41</v>
      </c>
    </row>
    <row r="5" customFormat="false" ht="61.5" hidden="false" customHeight="true" outlineLevel="0" collapsed="false">
      <c r="A5" s="3" t="s">
        <v>29</v>
      </c>
      <c r="B5" s="3" t="s">
        <v>44</v>
      </c>
      <c r="C5" s="3" t="n">
        <v>2</v>
      </c>
      <c r="D5" s="3" t="n">
        <v>2</v>
      </c>
      <c r="E5" s="3" t="n">
        <v>0</v>
      </c>
      <c r="F5" s="3" t="n">
        <v>1</v>
      </c>
      <c r="G5" s="4" t="s">
        <v>41</v>
      </c>
    </row>
    <row r="6" customFormat="false" ht="61.5" hidden="false" customHeight="true" outlineLevel="0" collapsed="false">
      <c r="A6" s="3" t="s">
        <v>30</v>
      </c>
      <c r="B6" s="3" t="s">
        <v>43</v>
      </c>
      <c r="C6" s="3" t="n">
        <v>2</v>
      </c>
      <c r="D6" s="3" t="n">
        <v>1</v>
      </c>
      <c r="E6" s="3" t="n">
        <v>1</v>
      </c>
      <c r="F6" s="3" t="n">
        <v>0</v>
      </c>
      <c r="G6" s="4" t="s">
        <v>41</v>
      </c>
    </row>
    <row r="7" customFormat="false" ht="61.5" hidden="false" customHeight="true" outlineLevel="0" collapsed="false">
      <c r="A7" s="3" t="s">
        <v>30</v>
      </c>
      <c r="B7" s="4" t="s">
        <v>45</v>
      </c>
      <c r="C7" s="4" t="s">
        <v>46</v>
      </c>
      <c r="D7" s="4" t="s">
        <v>46</v>
      </c>
      <c r="E7" s="4" t="s">
        <v>46</v>
      </c>
      <c r="F7" s="4" t="s">
        <v>47</v>
      </c>
      <c r="G7" s="4" t="s">
        <v>41</v>
      </c>
    </row>
    <row r="8" customFormat="false" ht="61.5" hidden="false" customHeight="true" outlineLevel="0" collapsed="false">
      <c r="A8" s="3" t="s">
        <v>30</v>
      </c>
      <c r="B8" s="4" t="s">
        <v>48</v>
      </c>
      <c r="C8" s="3" t="n">
        <v>2</v>
      </c>
      <c r="D8" s="3" t="n">
        <v>2</v>
      </c>
      <c r="E8" s="3" t="n">
        <v>2</v>
      </c>
      <c r="F8" s="3" t="n">
        <v>1</v>
      </c>
      <c r="G8" s="4" t="s">
        <v>41</v>
      </c>
    </row>
    <row r="9" customFormat="false" ht="61.5" hidden="false" customHeight="true" outlineLevel="0" collapsed="false">
      <c r="A9" s="3" t="s">
        <v>32</v>
      </c>
      <c r="B9" s="3" t="s">
        <v>40</v>
      </c>
      <c r="C9" s="3" t="n">
        <v>2</v>
      </c>
      <c r="D9" s="3" t="n">
        <v>2</v>
      </c>
      <c r="E9" s="3" t="n">
        <v>0</v>
      </c>
      <c r="F9" s="3" t="n">
        <v>2</v>
      </c>
      <c r="G9" s="4" t="s">
        <v>41</v>
      </c>
    </row>
    <row r="10" customFormat="false" ht="61.5" hidden="false" customHeight="true" outlineLevel="0" collapsed="false">
      <c r="A10" s="3" t="s">
        <v>32</v>
      </c>
      <c r="B10" s="3" t="s">
        <v>42</v>
      </c>
      <c r="C10" s="3" t="n">
        <v>2</v>
      </c>
      <c r="D10" s="3" t="n">
        <v>2</v>
      </c>
      <c r="E10" s="3" t="n">
        <v>0</v>
      </c>
      <c r="F10" s="3" t="n">
        <v>2</v>
      </c>
      <c r="G10" s="4" t="s">
        <v>41</v>
      </c>
    </row>
    <row r="11" customFormat="false" ht="61.5" hidden="false" customHeight="true" outlineLevel="0" collapsed="false">
      <c r="A11" s="3" t="s">
        <v>32</v>
      </c>
      <c r="B11" s="3" t="s">
        <v>43</v>
      </c>
      <c r="C11" s="3" t="n">
        <v>2</v>
      </c>
      <c r="D11" s="3" t="n">
        <v>2</v>
      </c>
      <c r="E11" s="3" t="n">
        <v>1</v>
      </c>
      <c r="F11" s="3" t="n">
        <v>0</v>
      </c>
      <c r="G11" s="4" t="s">
        <v>41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1" width="24"/>
    <col collapsed="false" customWidth="true" hidden="false" outlineLevel="0" max="14" min="14" style="1" width="100"/>
  </cols>
  <sheetData>
    <row r="1" customFormat="false" ht="16.5" hidden="false" customHeight="true" outlineLevel="0" collapsed="false">
      <c r="A1" s="2" t="s">
        <v>14</v>
      </c>
      <c r="B1" s="2" t="s">
        <v>15</v>
      </c>
      <c r="C1" s="5" t="s">
        <v>40</v>
      </c>
      <c r="D1" s="5" t="s">
        <v>42</v>
      </c>
      <c r="E1" s="5" t="s">
        <v>43</v>
      </c>
      <c r="F1" s="5" t="s">
        <v>44</v>
      </c>
      <c r="G1" s="2" t="s">
        <v>49</v>
      </c>
      <c r="H1" s="5" t="s">
        <v>50</v>
      </c>
      <c r="I1" s="2" t="s">
        <v>51</v>
      </c>
      <c r="J1" s="2" t="s">
        <v>45</v>
      </c>
      <c r="K1" s="2" t="s">
        <v>52</v>
      </c>
      <c r="L1" s="2" t="s">
        <v>53</v>
      </c>
      <c r="M1" s="2" t="s">
        <v>54</v>
      </c>
      <c r="N1" s="2" t="s">
        <v>55</v>
      </c>
    </row>
    <row r="2" customFormat="false" ht="61.5" hidden="false" customHeight="true" outlineLevel="0" collapsed="false">
      <c r="A2" s="3" t="s">
        <v>23</v>
      </c>
      <c r="B2" s="3" t="s">
        <v>24</v>
      </c>
      <c r="C2" s="3" t="n">
        <v>2</v>
      </c>
      <c r="D2" s="3" t="n">
        <v>2</v>
      </c>
      <c r="E2" s="3" t="n">
        <v>2</v>
      </c>
      <c r="F2" s="3" t="n">
        <v>2</v>
      </c>
      <c r="G2" s="6" t="b">
        <f aca="false">FALSE()</f>
        <v>0</v>
      </c>
      <c r="H2" s="6" t="b">
        <f aca="false">FALSE()</f>
        <v>0</v>
      </c>
      <c r="I2" s="6" t="b">
        <f aca="false">FALSE()</f>
        <v>0</v>
      </c>
      <c r="J2" s="6" t="b">
        <f aca="false">FALSE()</f>
        <v>0</v>
      </c>
      <c r="K2" s="3" t="n">
        <v>3</v>
      </c>
      <c r="L2" s="3" t="n">
        <v>3</v>
      </c>
      <c r="M2" s="6" t="b">
        <f aca="false">TRUE()</f>
        <v>1</v>
      </c>
      <c r="N2" s="3" t="s">
        <v>56</v>
      </c>
    </row>
    <row r="3" customFormat="false" ht="61.5" hidden="false" customHeight="true" outlineLevel="0" collapsed="false">
      <c r="A3" s="3" t="s">
        <v>26</v>
      </c>
      <c r="B3" s="3" t="s">
        <v>27</v>
      </c>
      <c r="C3" s="3" t="n">
        <v>2</v>
      </c>
      <c r="D3" s="3" t="n">
        <v>2</v>
      </c>
      <c r="E3" s="3" t="n">
        <v>1</v>
      </c>
      <c r="F3" s="3" t="n">
        <v>2</v>
      </c>
      <c r="G3" s="6" t="b">
        <f aca="false">FALSE()</f>
        <v>0</v>
      </c>
      <c r="H3" s="6" t="b">
        <f aca="false">FALSE()</f>
        <v>0</v>
      </c>
      <c r="I3" s="6" t="b">
        <f aca="false">FALSE()</f>
        <v>0</v>
      </c>
      <c r="J3" s="6" t="b">
        <f aca="false">FALSE()</f>
        <v>0</v>
      </c>
      <c r="K3" s="3" t="n">
        <v>2</v>
      </c>
      <c r="L3" s="3" t="n">
        <v>3</v>
      </c>
      <c r="M3" s="6" t="b">
        <f aca="false">FALSE()</f>
        <v>0</v>
      </c>
      <c r="N3" s="3" t="s">
        <v>57</v>
      </c>
    </row>
    <row r="4" customFormat="false" ht="61.5" hidden="false" customHeight="true" outlineLevel="0" collapsed="false">
      <c r="A4" s="3" t="s">
        <v>28</v>
      </c>
      <c r="B4" s="3" t="s">
        <v>24</v>
      </c>
      <c r="C4" s="3" t="n">
        <v>2</v>
      </c>
      <c r="D4" s="3" t="n">
        <v>2</v>
      </c>
      <c r="E4" s="3" t="n">
        <v>2</v>
      </c>
      <c r="F4" s="3" t="n">
        <v>2</v>
      </c>
      <c r="G4" s="6" t="b">
        <f aca="false">FALSE()</f>
        <v>0</v>
      </c>
      <c r="H4" s="6" t="b">
        <f aca="false">FALSE()</f>
        <v>0</v>
      </c>
      <c r="I4" s="6" t="b">
        <f aca="false">FALSE()</f>
        <v>0</v>
      </c>
      <c r="J4" s="6" t="b">
        <f aca="false">FALSE()</f>
        <v>0</v>
      </c>
      <c r="K4" s="3" t="n">
        <v>3</v>
      </c>
      <c r="L4" s="3" t="n">
        <v>3</v>
      </c>
      <c r="M4" s="6" t="b">
        <f aca="false">TRUE()</f>
        <v>1</v>
      </c>
      <c r="N4" s="3" t="s">
        <v>58</v>
      </c>
    </row>
    <row r="5" customFormat="false" ht="61.5" hidden="false" customHeight="true" outlineLevel="0" collapsed="false">
      <c r="A5" s="3" t="s">
        <v>29</v>
      </c>
      <c r="B5" s="3" t="s">
        <v>27</v>
      </c>
      <c r="C5" s="3" t="n">
        <v>2</v>
      </c>
      <c r="D5" s="3" t="n">
        <v>2</v>
      </c>
      <c r="E5" s="3" t="n">
        <v>0</v>
      </c>
      <c r="F5" s="3" t="n">
        <v>1</v>
      </c>
      <c r="G5" s="6" t="b">
        <f aca="false">TRUE()</f>
        <v>1</v>
      </c>
      <c r="H5" s="6" t="b">
        <f aca="false">FALSE()</f>
        <v>0</v>
      </c>
      <c r="I5" s="6" t="b">
        <f aca="false">TRUE()</f>
        <v>1</v>
      </c>
      <c r="J5" s="6" t="b">
        <f aca="false">FALSE()</f>
        <v>0</v>
      </c>
      <c r="K5" s="3" t="n">
        <v>1</v>
      </c>
      <c r="L5" s="3" t="n">
        <v>3</v>
      </c>
      <c r="M5" s="6" t="b">
        <f aca="false">FALSE()</f>
        <v>0</v>
      </c>
      <c r="N5" s="3" t="s">
        <v>59</v>
      </c>
    </row>
    <row r="6" customFormat="false" ht="61.5" hidden="false" customHeight="true" outlineLevel="0" collapsed="false">
      <c r="A6" s="3" t="s">
        <v>30</v>
      </c>
      <c r="B6" s="3" t="s">
        <v>27</v>
      </c>
      <c r="C6" s="3" t="n">
        <v>2</v>
      </c>
      <c r="D6" s="3" t="n">
        <v>2</v>
      </c>
      <c r="E6" s="3" t="n">
        <v>0</v>
      </c>
      <c r="F6" s="3" t="n">
        <v>2</v>
      </c>
      <c r="G6" s="6" t="b">
        <f aca="false">FALSE()</f>
        <v>0</v>
      </c>
      <c r="H6" s="6" t="b">
        <f aca="false">FALSE()</f>
        <v>0</v>
      </c>
      <c r="I6" s="6" t="b">
        <f aca="false">FALSE()</f>
        <v>0</v>
      </c>
      <c r="J6" s="6" t="b">
        <f aca="false">TRUE()</f>
        <v>1</v>
      </c>
      <c r="K6" s="3" t="n">
        <v>1</v>
      </c>
      <c r="L6" s="3" t="n">
        <v>3</v>
      </c>
      <c r="M6" s="6" t="b">
        <f aca="false">FALSE()</f>
        <v>0</v>
      </c>
      <c r="N6" s="3" t="s">
        <v>60</v>
      </c>
    </row>
    <row r="7" customFormat="false" ht="61.5" hidden="false" customHeight="true" outlineLevel="0" collapsed="false">
      <c r="A7" s="3" t="s">
        <v>31</v>
      </c>
      <c r="B7" s="3" t="s">
        <v>24</v>
      </c>
      <c r="C7" s="3" t="n">
        <v>2</v>
      </c>
      <c r="D7" s="3" t="n">
        <v>2</v>
      </c>
      <c r="E7" s="3" t="n">
        <v>2</v>
      </c>
      <c r="F7" s="3" t="n">
        <v>2</v>
      </c>
      <c r="G7" s="6" t="b">
        <f aca="false">FALSE()</f>
        <v>0</v>
      </c>
      <c r="H7" s="6" t="b">
        <f aca="false">FALSE()</f>
        <v>0</v>
      </c>
      <c r="I7" s="6" t="b">
        <f aca="false">FALSE()</f>
        <v>0</v>
      </c>
      <c r="J7" s="6" t="b">
        <f aca="false">FALSE()</f>
        <v>0</v>
      </c>
      <c r="K7" s="3" t="n">
        <v>3</v>
      </c>
      <c r="L7" s="3" t="n">
        <v>3</v>
      </c>
      <c r="M7" s="6" t="b">
        <f aca="false">TRUE()</f>
        <v>1</v>
      </c>
      <c r="N7" s="3" t="s">
        <v>61</v>
      </c>
    </row>
    <row r="8" customFormat="false" ht="61.5" hidden="false" customHeight="true" outlineLevel="0" collapsed="false">
      <c r="A8" s="3" t="s">
        <v>32</v>
      </c>
      <c r="B8" s="3" t="s">
        <v>24</v>
      </c>
      <c r="C8" s="3" t="n">
        <v>2</v>
      </c>
      <c r="D8" s="3" t="n">
        <v>2</v>
      </c>
      <c r="E8" s="3" t="n">
        <v>0</v>
      </c>
      <c r="F8" s="3" t="n">
        <v>0</v>
      </c>
      <c r="G8" s="6" t="b">
        <f aca="false">TRUE()</f>
        <v>1</v>
      </c>
      <c r="H8" s="6" t="b">
        <f aca="false">FALSE()</f>
        <v>0</v>
      </c>
      <c r="I8" s="6" t="b">
        <f aca="false">TRUE()</f>
        <v>1</v>
      </c>
      <c r="J8" s="6" t="b">
        <f aca="false">FALSE()</f>
        <v>0</v>
      </c>
      <c r="K8" s="3" t="n">
        <v>1</v>
      </c>
      <c r="L8" s="3" t="n">
        <v>3</v>
      </c>
      <c r="M8" s="6" t="b">
        <f aca="false">FALSE()</f>
        <v>0</v>
      </c>
      <c r="N8" s="3" t="s">
        <v>62</v>
      </c>
    </row>
    <row r="9" customFormat="false" ht="61.5" hidden="false" customHeight="true" outlineLevel="0" collapsed="false">
      <c r="A9" s="3" t="s">
        <v>33</v>
      </c>
      <c r="B9" s="3" t="s">
        <v>27</v>
      </c>
      <c r="C9" s="3" t="n">
        <v>2</v>
      </c>
      <c r="D9" s="3" t="n">
        <v>2</v>
      </c>
      <c r="E9" s="3" t="n">
        <v>1</v>
      </c>
      <c r="F9" s="3" t="n">
        <v>2</v>
      </c>
      <c r="G9" s="6" t="b">
        <f aca="false">FALSE()</f>
        <v>0</v>
      </c>
      <c r="H9" s="6" t="b">
        <f aca="false">FALSE()</f>
        <v>0</v>
      </c>
      <c r="I9" s="6" t="b">
        <f aca="false">FALSE()</f>
        <v>0</v>
      </c>
      <c r="J9" s="6" t="b">
        <f aca="false">FALSE()</f>
        <v>0</v>
      </c>
      <c r="K9" s="3" t="n">
        <v>2</v>
      </c>
      <c r="L9" s="3" t="n">
        <v>3</v>
      </c>
      <c r="M9" s="6" t="b">
        <f aca="false">FALSE()</f>
        <v>0</v>
      </c>
      <c r="N9" s="3" t="s">
        <v>63</v>
      </c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24"/>
  </cols>
  <sheetData>
    <row r="1" customFormat="false" ht="16.5" hidden="false" customHeight="true" outlineLevel="0" collapsed="false">
      <c r="A1" s="2" t="s">
        <v>64</v>
      </c>
      <c r="B1" s="2" t="s">
        <v>65</v>
      </c>
      <c r="C1" s="2" t="s">
        <v>1</v>
      </c>
    </row>
    <row r="2" customFormat="false" ht="61.5" hidden="false" customHeight="true" outlineLevel="0" collapsed="false">
      <c r="A2" s="4" t="s">
        <v>66</v>
      </c>
      <c r="B2" s="3" t="n">
        <v>8</v>
      </c>
      <c r="C2" s="4" t="s">
        <v>67</v>
      </c>
    </row>
    <row r="3" customFormat="false" ht="61.5" hidden="false" customHeight="true" outlineLevel="0" collapsed="false">
      <c r="A3" s="4" t="s">
        <v>68</v>
      </c>
      <c r="B3" s="3" t="n">
        <v>8</v>
      </c>
      <c r="C3" s="4" t="s">
        <v>69</v>
      </c>
    </row>
    <row r="4" customFormat="false" ht="61.5" hidden="false" customHeight="true" outlineLevel="0" collapsed="false">
      <c r="A4" s="3" t="s">
        <v>70</v>
      </c>
      <c r="B4" s="3" t="n">
        <v>3</v>
      </c>
      <c r="C4" s="4" t="s">
        <v>71</v>
      </c>
    </row>
    <row r="5" customFormat="false" ht="61.5" hidden="false" customHeight="true" outlineLevel="0" collapsed="false">
      <c r="A5" s="4" t="s">
        <v>72</v>
      </c>
      <c r="B5" s="3" t="n">
        <v>3</v>
      </c>
      <c r="C5" s="4" t="s">
        <v>73</v>
      </c>
    </row>
    <row r="6" customFormat="false" ht="61.5" hidden="false" customHeight="true" outlineLevel="0" collapsed="false">
      <c r="A6" s="4" t="s">
        <v>74</v>
      </c>
      <c r="B6" s="3" t="n">
        <f aca="false">B5/B2</f>
        <v>0.375</v>
      </c>
      <c r="C6" s="3" t="s">
        <v>75</v>
      </c>
    </row>
    <row r="7" customFormat="false" ht="61.5" hidden="false" customHeight="true" outlineLevel="0" collapsed="false">
      <c r="A7" s="4" t="s">
        <v>76</v>
      </c>
      <c r="B7" s="3" t="n">
        <f aca="false">(B3/B2)*(B4/B2)+(1-B3/B2)*(1-B4/B2)</f>
        <v>0.375</v>
      </c>
      <c r="C7" s="3" t="s">
        <v>77</v>
      </c>
    </row>
    <row r="8" customFormat="false" ht="61.5" hidden="false" customHeight="true" outlineLevel="0" collapsed="false">
      <c r="A8" s="4" t="s">
        <v>78</v>
      </c>
      <c r="B8" s="3" t="n">
        <f aca="false">(B6-B7)/(1-B7)</f>
        <v>0</v>
      </c>
      <c r="C8" s="3" t="s">
        <v>79</v>
      </c>
    </row>
    <row r="9" customFormat="false" ht="61.5" hidden="false" customHeight="true" outlineLevel="0" collapsed="false">
      <c r="A9" s="4" t="s">
        <v>80</v>
      </c>
      <c r="B9" s="3" t="n">
        <v>0.0155928</v>
      </c>
      <c r="C9" s="4" t="s">
        <v>81</v>
      </c>
    </row>
    <row r="10" customFormat="false" ht="61.5" hidden="false" customHeight="true" outlineLevel="0" collapsed="false">
      <c r="A10" s="4" t="s">
        <v>82</v>
      </c>
      <c r="B10" s="3" t="n">
        <v>3</v>
      </c>
      <c r="C10" s="4" t="s">
        <v>83</v>
      </c>
    </row>
    <row r="11" customFormat="false" ht="61.5" hidden="false" customHeight="true" outlineLevel="0" collapsed="false">
      <c r="A11" s="4" t="s">
        <v>84</v>
      </c>
      <c r="B11" s="3" t="n">
        <f aca="false">B9/B10</f>
        <v>0.0051976</v>
      </c>
      <c r="C11" s="3" t="s">
        <v>85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60"/>
  </cols>
  <sheetData>
    <row r="1" customFormat="false" ht="16.5" hidden="false" customHeight="true" outlineLevel="0" collapsed="false">
      <c r="A1" s="2" t="s">
        <v>86</v>
      </c>
      <c r="B1" s="5" t="s">
        <v>87</v>
      </c>
      <c r="C1" s="2" t="s">
        <v>88</v>
      </c>
      <c r="D1" s="2" t="s">
        <v>89</v>
      </c>
    </row>
    <row r="2" customFormat="false" ht="61.5" hidden="false" customHeight="true" outlineLevel="0" collapsed="false">
      <c r="A2" s="3" t="s">
        <v>90</v>
      </c>
      <c r="B2" s="3" t="s">
        <v>91</v>
      </c>
      <c r="C2" s="3" t="s">
        <v>92</v>
      </c>
      <c r="D2" s="4" t="s">
        <v>93</v>
      </c>
    </row>
    <row r="3" customFormat="false" ht="61.5" hidden="false" customHeight="true" outlineLevel="0" collapsed="false">
      <c r="A3" s="3" t="s">
        <v>94</v>
      </c>
      <c r="B3" s="3" t="s">
        <v>95</v>
      </c>
      <c r="C3" s="4" t="s">
        <v>96</v>
      </c>
      <c r="D3" s="4" t="s">
        <v>97</v>
      </c>
    </row>
    <row r="4" customFormat="false" ht="61.5" hidden="false" customHeight="true" outlineLevel="0" collapsed="false">
      <c r="A4" s="3" t="s">
        <v>98</v>
      </c>
      <c r="B4" s="4" t="s">
        <v>99</v>
      </c>
      <c r="C4" s="3" t="s">
        <v>100</v>
      </c>
      <c r="D4" s="4" t="s">
        <v>101</v>
      </c>
    </row>
    <row r="5" customFormat="false" ht="61.5" hidden="false" customHeight="true" outlineLevel="0" collapsed="false">
      <c r="A5" s="3" t="s">
        <v>102</v>
      </c>
      <c r="B5" s="4" t="s">
        <v>103</v>
      </c>
      <c r="C5" s="4" t="s">
        <v>104</v>
      </c>
      <c r="D5" s="4" t="s">
        <v>105</v>
      </c>
    </row>
    <row r="6" customFormat="false" ht="61.5" hidden="false" customHeight="true" outlineLevel="0" collapsed="false">
      <c r="A6" s="3" t="s">
        <v>106</v>
      </c>
      <c r="B6" s="4" t="s">
        <v>107</v>
      </c>
      <c r="C6" s="3" t="s">
        <v>108</v>
      </c>
      <c r="D6" s="4" t="s">
        <v>109</v>
      </c>
    </row>
    <row r="7" customFormat="false" ht="61.5" hidden="false" customHeight="true" outlineLevel="0" collapsed="false">
      <c r="A7" s="3" t="s">
        <v>110</v>
      </c>
      <c r="B7" s="4" t="s">
        <v>111</v>
      </c>
      <c r="C7" s="4" t="s">
        <v>112</v>
      </c>
      <c r="D7" s="4" t="s">
        <v>113</v>
      </c>
    </row>
    <row r="8" customFormat="false" ht="61.5" hidden="false" customHeight="true" outlineLevel="0" collapsed="false">
      <c r="A8" s="4" t="s">
        <v>114</v>
      </c>
      <c r="B8" s="3" t="s">
        <v>115</v>
      </c>
      <c r="C8" s="4" t="s">
        <v>116</v>
      </c>
      <c r="D8" s="4" t="s">
        <v>117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2026-10-28T16:08:09Z</dcterms:created>
  <dc:creator>openpyxl</dc:creator>
  <dc:description/>
  <dc:language>en-US</dc:language>
  <cp:lastModifiedBy/>
  <dcterms:modified xsi:type="dcterms:W3CDTF">2026-10-28T16:22:04Z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