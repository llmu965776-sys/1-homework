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说明" sheetId="1" state="visible" r:id="rId1"/>
    <sheet xmlns:r="http://schemas.openxmlformats.org/officeDocument/2006/relationships" name="01_20题准入检查" sheetId="2" state="visible" r:id="rId2"/>
    <sheet xmlns:r="http://schemas.openxmlformats.org/officeDocument/2006/relationships" name="02_11题时点追踪" sheetId="3" state="visible" r:id="rId3"/>
    <sheet xmlns:r="http://schemas.openxmlformats.org/officeDocument/2006/relationships" name="03_价格与配置" sheetId="4" state="visible" r:id="rId4"/>
    <sheet xmlns:r="http://schemas.openxmlformats.org/officeDocument/2006/relationships" name="04_API预算情景" sheetId="5" state="visible" r:id="rId5"/>
    <sheet xmlns:r="http://schemas.openxmlformats.org/officeDocument/2006/relationships" name="05_8次回传模板" sheetId="6" state="visible" r:id="rId6"/>
    <sheet xmlns:r="http://schemas.openxmlformats.org/officeDocument/2006/relationships" name="06_来源索引" sheetId="7" state="visible" r:id="rId7"/>
  </sheets>
  <definedNames>
    <definedName name="_xlnm._FilterDatabase" localSheetId="0" hidden="1">'00_说明'!$A$1:$B$8</definedName>
    <definedName name="_xlnm.Print_Titles" localSheetId="0">'00_说明'!$1:$1</definedName>
    <definedName name="_xlnm._FilterDatabase" localSheetId="1" hidden="1">'01_20题准入检查'!$A$1:$K$21</definedName>
    <definedName name="_xlnm.Print_Titles" localSheetId="1">'01_20题准入检查'!$1:$1</definedName>
    <definedName name="_xlnm._FilterDatabase" localSheetId="2" hidden="1">'02_11题时点追踪'!$A$1:$J$12</definedName>
    <definedName name="_xlnm.Print_Titles" localSheetId="2">'02_11题时点追踪'!$1:$1</definedName>
    <definedName name="_xlnm._FilterDatabase" localSheetId="3" hidden="1">'03_价格与配置'!$A$1:$G$6</definedName>
    <definedName name="_xlnm.Print_Titles" localSheetId="3">'03_价格与配置'!$1:$1</definedName>
    <definedName name="_xlnm._FilterDatabase" localSheetId="4" hidden="1">'04_API预算情景'!$A$1:$D$20</definedName>
    <definedName name="_xlnm.Print_Titles" localSheetId="4">'04_API预算情景'!$1:$1</definedName>
    <definedName name="_xlnm._FilterDatabase" localSheetId="5" hidden="1">'05_8次回传模板'!$A$1:$T$9</definedName>
    <definedName name="_xlnm.Print_Titles" localSheetId="5">'05_8次回传模板'!$1:$1</definedName>
    <definedName name="_xlnm._FilterDatabase" localSheetId="6" hidden="1">'06_来源索引'!$A$1:$F$10</definedName>
    <definedName name="_xlnm.Print_Titles" localSheetId="6">'06_来源索引'!$1:$1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微软雅黑"/>
      <b val="1"/>
      <color rgb="00FFFFFF"/>
    </font>
    <font>
      <name val="微软雅黑"/>
      <color rgb="00203344"/>
      <sz val="10"/>
    </font>
    <font>
      <name val="微软雅黑"/>
      <color rgb="000070C0"/>
      <sz val="10"/>
    </font>
  </fonts>
  <fills count="4">
    <fill>
      <patternFill/>
    </fill>
    <fill>
      <patternFill patternType="gray125"/>
    </fill>
    <fill>
      <patternFill patternType="solid">
        <fgColor rgb="00163D52"/>
      </patternFill>
    </fill>
    <fill>
      <patternFill patternType="solid">
        <fgColor rgb="00EFF5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164" fontId="3" fillId="3" borderId="0" applyAlignment="1" pivotButton="0" quotePrefix="0" xfId="0">
      <alignment vertical="top" wrapText="1"/>
    </xf>
    <xf numFmtId="9" fontId="2" fillId="3" borderId="0" applyAlignment="1" pivotButton="0" quotePrefix="0" xfId="0">
      <alignment vertical="top" wrapText="1"/>
    </xf>
    <xf numFmtId="164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90" customWidth="1" min="2" max="2"/>
  </cols>
  <sheetData>
    <row r="1" ht="30" customHeight="1">
      <c r="A1" s="1" t="inlineStr">
        <is>
          <t>项目</t>
        </is>
      </c>
      <c r="B1" s="1" t="inlineStr">
        <is>
          <t>说明</t>
        </is>
      </c>
    </row>
    <row r="2" ht="42" customHeight="1">
      <c r="A2" s="2" t="inlineStr">
        <is>
          <t>版本</t>
        </is>
      </c>
      <c r="B2" s="2" t="inlineStr">
        <is>
          <t>v0.7补充；北京时间2026-10-23</t>
        </is>
      </c>
    </row>
    <row r="3" ht="42" customHeight="1">
      <c r="A3" s="3" t="inlineStr">
        <is>
          <t>用途</t>
        </is>
      </c>
      <c r="B3" s="3" t="inlineStr">
        <is>
          <t>配合v0.6主工作簿；预算是假设，调用记录未运行</t>
        </is>
      </c>
    </row>
    <row r="4" ht="42" customHeight="1">
      <c r="A4" s="2" t="inlineStr">
        <is>
          <t>当前状态</t>
        </is>
      </c>
      <c r="B4" s="2" t="inlineStr">
        <is>
          <t>20候选；9题时间明确；11题缺实际提交时间；2题可先调试</t>
        </is>
      </c>
    </row>
    <row r="5" ht="42" customHeight="1">
      <c r="A5" s="3" t="inlineStr">
        <is>
          <t>费用口径</t>
        </is>
      </c>
      <c r="B5" s="3" t="inlineStr">
        <is>
          <t>实际账、统一参考价账分列；不使用现金0元代表长期成本</t>
        </is>
      </c>
    </row>
    <row r="6" ht="42" customHeight="1">
      <c r="A6" s="2" t="inlineStr">
        <is>
          <t>实际缺失值</t>
        </is>
      </c>
      <c r="B6" s="2" t="inlineStr">
        <is>
          <t>空白代表未获得；不得改填0</t>
        </is>
      </c>
    </row>
    <row r="7" ht="42" customHeight="1">
      <c r="A7" s="3" t="inlineStr">
        <is>
          <t>配置状态</t>
        </is>
      </c>
      <c r="B7" s="3" t="inlineStr">
        <is>
          <t>队长已同意按建议准备；待C账户验证，正式未冻结</t>
        </is>
      </c>
    </row>
    <row r="8" ht="42" customHeight="1">
      <c r="A8" s="2" t="inlineStr">
        <is>
          <t>预算</t>
        </is>
      </c>
      <c r="B8" s="2" t="inlineStr">
        <is>
          <t>100元API上限；8次测试后用实测Token更新预测</t>
        </is>
      </c>
    </row>
  </sheetData>
  <autoFilter ref="A1:B8"/>
  <printOptions horizontalCentered="1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1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55" customWidth="1" min="11" max="11"/>
  </cols>
  <sheetData>
    <row r="1" ht="30" customHeight="1">
      <c r="A1" s="1" t="inlineStr">
        <is>
          <t>题号</t>
        </is>
      </c>
      <c r="B1" s="1" t="inlineStr">
        <is>
          <t>公司</t>
        </is>
      </c>
      <c r="C1" s="1" t="inlineStr">
        <is>
          <t>原题可追溯</t>
        </is>
      </c>
      <c r="D1" s="1" t="inlineStr">
        <is>
          <t>实际提问时间</t>
        </is>
      </c>
      <c r="E1" s="1" t="inlineStr">
        <is>
          <t>时间精度</t>
        </is>
      </c>
      <c r="F1" s="1" t="inlineStr">
        <is>
          <t>引用原件齐备</t>
        </is>
      </c>
      <c r="G1" s="1" t="inlineStr">
        <is>
          <t>标准存在未决冲突</t>
        </is>
      </c>
      <c r="H1" s="1" t="inlineStr">
        <is>
          <t>已完成独立人工复核</t>
        </is>
      </c>
      <c r="I1" s="1" t="inlineStr">
        <is>
          <t>可先做2题连通测试</t>
        </is>
      </c>
      <c r="J1" s="1" t="inlineStr">
        <is>
          <t>正式预实验已冻结</t>
        </is>
      </c>
      <c r="K1" s="1" t="inlineStr">
        <is>
          <t>下一步</t>
        </is>
      </c>
    </row>
    <row r="2" ht="42" customHeight="1">
      <c r="A2" s="2" t="inlineStr">
        <is>
          <t>P-A01</t>
        </is>
      </c>
      <c r="B2" s="2" t="inlineStr">
        <is>
          <t>智动力</t>
        </is>
      </c>
      <c r="C2" s="2" t="inlineStr">
        <is>
          <t>是</t>
        </is>
      </c>
      <c r="D2" s="2" t="inlineStr">
        <is>
          <t>2026-05-20 15:01:57+08:00</t>
        </is>
      </c>
      <c r="E2" s="2" t="inlineStr">
        <is>
          <t>页面提问时间到秒</t>
        </is>
      </c>
      <c r="F2" s="2" t="inlineStr">
        <is>
          <t>否</t>
        </is>
      </c>
      <c r="G2" s="2" t="inlineStr">
        <is>
          <t>当前未发现</t>
        </is>
      </c>
      <c r="H2" s="2" t="inlineStr">
        <is>
          <t>否</t>
        </is>
      </c>
      <c r="I2" s="2" t="inlineStr">
        <is>
          <t>否</t>
        </is>
      </c>
      <c r="J2" s="2" t="inlineStr">
        <is>
          <t>否</t>
        </is>
      </c>
      <c r="K2" s="2" t="inlineStr">
        <is>
          <t>智动力年报原件未归档；独立复核未完成</t>
        </is>
      </c>
    </row>
    <row r="3" ht="42" customHeight="1">
      <c r="A3" s="3" t="inlineStr">
        <is>
          <t>P-A02</t>
        </is>
      </c>
      <c r="B3" s="3" t="inlineStr">
        <is>
          <t>智动力</t>
        </is>
      </c>
      <c r="C3" s="3" t="inlineStr">
        <is>
          <t>是</t>
        </is>
      </c>
      <c r="D3" s="3" t="inlineStr">
        <is>
          <t>2026-05-20 15:10:13+08:00</t>
        </is>
      </c>
      <c r="E3" s="3" t="inlineStr">
        <is>
          <t>页面提问时间到秒</t>
        </is>
      </c>
      <c r="F3" s="3" t="inlineStr">
        <is>
          <t>否</t>
        </is>
      </c>
      <c r="G3" s="3" t="inlineStr">
        <is>
          <t>当前未发现</t>
        </is>
      </c>
      <c r="H3" s="3" t="inlineStr">
        <is>
          <t>否</t>
        </is>
      </c>
      <c r="I3" s="3" t="inlineStr">
        <is>
          <t>否</t>
        </is>
      </c>
      <c r="J3" s="3" t="inlineStr">
        <is>
          <t>否</t>
        </is>
      </c>
      <c r="K3" s="3" t="inlineStr">
        <is>
          <t>智动力年报原件未归档；独立复核未完成</t>
        </is>
      </c>
    </row>
    <row r="4" ht="42" customHeight="1">
      <c r="A4" s="2" t="inlineStr">
        <is>
          <t>P-A03</t>
        </is>
      </c>
      <c r="B4" s="2" t="inlineStr">
        <is>
          <t>智动力</t>
        </is>
      </c>
      <c r="C4" s="2" t="inlineStr">
        <is>
          <t>是</t>
        </is>
      </c>
      <c r="D4" s="2" t="inlineStr">
        <is>
          <t>2026-05-20 15:21:42+08:00</t>
        </is>
      </c>
      <c r="E4" s="2" t="inlineStr">
        <is>
          <t>页面提问时间到秒</t>
        </is>
      </c>
      <c r="F4" s="2" t="inlineStr">
        <is>
          <t>否</t>
        </is>
      </c>
      <c r="G4" s="2" t="inlineStr">
        <is>
          <t>当前未发现</t>
        </is>
      </c>
      <c r="H4" s="2" t="inlineStr">
        <is>
          <t>否</t>
        </is>
      </c>
      <c r="I4" s="2" t="inlineStr">
        <is>
          <t>否</t>
        </is>
      </c>
      <c r="J4" s="2" t="inlineStr">
        <is>
          <t>否</t>
        </is>
      </c>
      <c r="K4" s="2" t="inlineStr">
        <is>
          <t>智动力年报原件未归档；独立复核未完成</t>
        </is>
      </c>
    </row>
    <row r="5" ht="42" customHeight="1">
      <c r="A5" s="3" t="inlineStr">
        <is>
          <t>P-A04</t>
        </is>
      </c>
      <c r="B5" s="3" t="inlineStr">
        <is>
          <t>智动力</t>
        </is>
      </c>
      <c r="C5" s="3" t="inlineStr">
        <is>
          <t>是</t>
        </is>
      </c>
      <c r="D5" s="3" t="inlineStr">
        <is>
          <t>2026-05-20 15:24:38+08:00</t>
        </is>
      </c>
      <c r="E5" s="3" t="inlineStr">
        <is>
          <t>页面提问时间到秒</t>
        </is>
      </c>
      <c r="F5" s="3" t="inlineStr">
        <is>
          <t>否</t>
        </is>
      </c>
      <c r="G5" s="3" t="inlineStr">
        <is>
          <t>当前未发现</t>
        </is>
      </c>
      <c r="H5" s="3" t="inlineStr">
        <is>
          <t>否</t>
        </is>
      </c>
      <c r="I5" s="3" t="inlineStr">
        <is>
          <t>否</t>
        </is>
      </c>
      <c r="J5" s="3" t="inlineStr">
        <is>
          <t>否</t>
        </is>
      </c>
      <c r="K5" s="3" t="inlineStr">
        <is>
          <t>智动力年报原件未归档；独立复核未完成</t>
        </is>
      </c>
    </row>
    <row r="6" ht="42" customHeight="1">
      <c r="A6" s="2" t="inlineStr">
        <is>
          <t>P-A05</t>
        </is>
      </c>
      <c r="B6" s="2" t="inlineStr">
        <is>
          <t>智动力</t>
        </is>
      </c>
      <c r="C6" s="2" t="inlineStr">
        <is>
          <t>是</t>
        </is>
      </c>
      <c r="D6" s="2" t="inlineStr">
        <is>
          <t>2026-05-20 15:29:28+08:00</t>
        </is>
      </c>
      <c r="E6" s="2" t="inlineStr">
        <is>
          <t>页面提问时间到秒</t>
        </is>
      </c>
      <c r="F6" s="2" t="inlineStr">
        <is>
          <t>否</t>
        </is>
      </c>
      <c r="G6" s="2" t="inlineStr">
        <is>
          <t>当前未发现</t>
        </is>
      </c>
      <c r="H6" s="2" t="inlineStr">
        <is>
          <t>否</t>
        </is>
      </c>
      <c r="I6" s="2" t="inlineStr">
        <is>
          <t>否</t>
        </is>
      </c>
      <c r="J6" s="2" t="inlineStr">
        <is>
          <t>否</t>
        </is>
      </c>
      <c r="K6" s="2" t="inlineStr">
        <is>
          <t>智动力年报原件未归档；独立复核未完成</t>
        </is>
      </c>
    </row>
    <row r="7" ht="42" customHeight="1">
      <c r="A7" s="3" t="inlineStr">
        <is>
          <t>P-A06</t>
        </is>
      </c>
      <c r="B7" s="3" t="inlineStr">
        <is>
          <t>苏泊尔</t>
        </is>
      </c>
      <c r="C7" s="3" t="inlineStr">
        <is>
          <t>是</t>
        </is>
      </c>
      <c r="D7" s="3" t="inlineStr">
        <is>
          <t>2026-04-09 16:27:29+08:00</t>
        </is>
      </c>
      <c r="E7" s="3" t="inlineStr">
        <is>
          <t>页面提问时间到秒</t>
        </is>
      </c>
      <c r="F7" s="3" t="inlineStr">
        <is>
          <t>是</t>
        </is>
      </c>
      <c r="G7" s="3" t="inlineStr">
        <is>
          <t>是</t>
        </is>
      </c>
      <c r="H7" s="3" t="inlineStr">
        <is>
          <t>否</t>
        </is>
      </c>
      <c r="I7" s="3" t="inlineStr">
        <is>
          <t>否</t>
        </is>
      </c>
      <c r="J7" s="3" t="inlineStr">
        <is>
          <t>否</t>
        </is>
      </c>
      <c r="K7" s="3" t="inlineStr">
        <is>
          <t>两表差异原因未决，保留U</t>
        </is>
      </c>
    </row>
    <row r="8" ht="42" customHeight="1">
      <c r="A8" s="2" t="inlineStr">
        <is>
          <t>P-A07</t>
        </is>
      </c>
      <c r="B8" s="2" t="inlineStr">
        <is>
          <t>苏泊尔</t>
        </is>
      </c>
      <c r="C8" s="2" t="inlineStr">
        <is>
          <t>是</t>
        </is>
      </c>
      <c r="D8" s="2" t="inlineStr">
        <is>
          <t>2026-04-09 16:29:19+08:00</t>
        </is>
      </c>
      <c r="E8" s="2" t="inlineStr">
        <is>
          <t>页面提问时间到秒</t>
        </is>
      </c>
      <c r="F8" s="2" t="inlineStr">
        <is>
          <t>是</t>
        </is>
      </c>
      <c r="G8" s="2" t="inlineStr">
        <is>
          <t>当前未发现</t>
        </is>
      </c>
      <c r="H8" s="2" t="inlineStr">
        <is>
          <t>否</t>
        </is>
      </c>
      <c r="I8" s="2" t="inlineStr">
        <is>
          <t>是</t>
        </is>
      </c>
      <c r="J8" s="2" t="inlineStr">
        <is>
          <t>否</t>
        </is>
      </c>
      <c r="K8" s="2" t="inlineStr">
        <is>
          <t>仅可先做连通测试；独立复核未完成</t>
        </is>
      </c>
    </row>
    <row r="9" ht="42" customHeight="1">
      <c r="A9" s="3" t="inlineStr">
        <is>
          <t>P-A08</t>
        </is>
      </c>
      <c r="B9" s="3" t="inlineStr">
        <is>
          <t>苏泊尔</t>
        </is>
      </c>
      <c r="C9" s="3" t="inlineStr">
        <is>
          <t>是</t>
        </is>
      </c>
      <c r="D9" s="3" t="inlineStr">
        <is>
          <t>2026-04-09 16:31:18+08:00</t>
        </is>
      </c>
      <c r="E9" s="3" t="inlineStr">
        <is>
          <t>页面提问时间到秒</t>
        </is>
      </c>
      <c r="F9" s="3" t="inlineStr">
        <is>
          <t>是</t>
        </is>
      </c>
      <c r="G9" s="3" t="inlineStr">
        <is>
          <t>当前未发现</t>
        </is>
      </c>
      <c r="H9" s="3" t="inlineStr">
        <is>
          <t>否</t>
        </is>
      </c>
      <c r="I9" s="3" t="inlineStr">
        <is>
          <t>是</t>
        </is>
      </c>
      <c r="J9" s="3" t="inlineStr">
        <is>
          <t>否</t>
        </is>
      </c>
      <c r="K9" s="3" t="inlineStr">
        <is>
          <t>仅可先做连通测试；独立复核未完成</t>
        </is>
      </c>
    </row>
    <row r="10" ht="42" customHeight="1">
      <c r="A10" s="2" t="inlineStr">
        <is>
          <t>P-A09</t>
        </is>
      </c>
      <c r="B10" s="2" t="inlineStr">
        <is>
          <t>苏泊尔</t>
        </is>
      </c>
      <c r="C10" s="2" t="inlineStr">
        <is>
          <t>是</t>
        </is>
      </c>
      <c r="D10" s="2" t="inlineStr">
        <is>
          <t>2026-04-09 16:46:02+08:00</t>
        </is>
      </c>
      <c r="E10" s="2" t="inlineStr">
        <is>
          <t>页面提问时间到秒</t>
        </is>
      </c>
      <c r="F10" s="2" t="inlineStr">
        <is>
          <t>是</t>
        </is>
      </c>
      <c r="G10" s="2" t="inlineStr">
        <is>
          <t>当前未发现</t>
        </is>
      </c>
      <c r="H10" s="2" t="inlineStr">
        <is>
          <t>否</t>
        </is>
      </c>
      <c r="I10" s="2" t="inlineStr">
        <is>
          <t>否</t>
        </is>
      </c>
      <c r="J10" s="2" t="inlineStr">
        <is>
          <t>否</t>
        </is>
      </c>
      <c r="K10" s="2" t="inlineStr">
        <is>
          <t>时点与原件具备；待更完整检索和独立复核</t>
        </is>
      </c>
    </row>
    <row r="11" ht="42" customHeight="1">
      <c r="A11" s="3" t="inlineStr">
        <is>
          <t>P-A10</t>
        </is>
      </c>
      <c r="B11" s="3" t="inlineStr">
        <is>
          <t>老板电器</t>
        </is>
      </c>
      <c r="C11" s="3" t="inlineStr">
        <is>
          <t>是</t>
        </is>
      </c>
      <c r="D11" s="3" t="inlineStr"/>
      <c r="E11" s="3" t="inlineStr">
        <is>
          <t>仅活动日期；原始提交时间未知</t>
        </is>
      </c>
      <c r="F11" s="3" t="inlineStr">
        <is>
          <t>是</t>
        </is>
      </c>
      <c r="G11" s="3" t="inlineStr">
        <is>
          <t>当前未发现</t>
        </is>
      </c>
      <c r="H11" s="3" t="inlineStr">
        <is>
          <t>否</t>
        </is>
      </c>
      <c r="I11" s="3" t="inlineStr">
        <is>
          <t>否</t>
        </is>
      </c>
      <c r="J11" s="3" t="inlineStr">
        <is>
          <t>否</t>
        </is>
      </c>
      <c r="K11" s="3" t="inlineStr">
        <is>
          <t>逐题提问时间未核实；独立复核未完成</t>
        </is>
      </c>
    </row>
    <row r="12" ht="42" customHeight="1">
      <c r="A12" s="2" t="inlineStr">
        <is>
          <t>P-A11</t>
        </is>
      </c>
      <c r="B12" s="2" t="inlineStr">
        <is>
          <t>老板电器</t>
        </is>
      </c>
      <c r="C12" s="2" t="inlineStr">
        <is>
          <t>是</t>
        </is>
      </c>
      <c r="D12" s="2" t="inlineStr"/>
      <c r="E12" s="2" t="inlineStr">
        <is>
          <t>仅活动日期；原始提交时间未知</t>
        </is>
      </c>
      <c r="F12" s="2" t="inlineStr">
        <is>
          <t>是</t>
        </is>
      </c>
      <c r="G12" s="2" t="inlineStr">
        <is>
          <t>当前未发现</t>
        </is>
      </c>
      <c r="H12" s="2" t="inlineStr">
        <is>
          <t>否</t>
        </is>
      </c>
      <c r="I12" s="2" t="inlineStr">
        <is>
          <t>否</t>
        </is>
      </c>
      <c r="J12" s="2" t="inlineStr">
        <is>
          <t>否</t>
        </is>
      </c>
      <c r="K12" s="2" t="inlineStr">
        <is>
          <t>逐题提问时间未核实；独立复核未完成</t>
        </is>
      </c>
    </row>
    <row r="13" ht="42" customHeight="1">
      <c r="A13" s="3" t="inlineStr">
        <is>
          <t>P-A12</t>
        </is>
      </c>
      <c r="B13" s="3" t="inlineStr">
        <is>
          <t>老板电器</t>
        </is>
      </c>
      <c r="C13" s="3" t="inlineStr">
        <is>
          <t>是</t>
        </is>
      </c>
      <c r="D13" s="3" t="inlineStr"/>
      <c r="E13" s="3" t="inlineStr">
        <is>
          <t>仅活动日期；原始提交时间未知</t>
        </is>
      </c>
      <c r="F13" s="3" t="inlineStr">
        <is>
          <t>是</t>
        </is>
      </c>
      <c r="G13" s="3" t="inlineStr">
        <is>
          <t>当前未发现</t>
        </is>
      </c>
      <c r="H13" s="3" t="inlineStr">
        <is>
          <t>否</t>
        </is>
      </c>
      <c r="I13" s="3" t="inlineStr">
        <is>
          <t>否</t>
        </is>
      </c>
      <c r="J13" s="3" t="inlineStr">
        <is>
          <t>否</t>
        </is>
      </c>
      <c r="K13" s="3" t="inlineStr">
        <is>
          <t>逐题提问时间未核实；独立复核未完成</t>
        </is>
      </c>
    </row>
    <row r="14" ht="42" customHeight="1">
      <c r="A14" s="2" t="inlineStr">
        <is>
          <t>P-A13</t>
        </is>
      </c>
      <c r="B14" s="2" t="inlineStr">
        <is>
          <t>老板电器</t>
        </is>
      </c>
      <c r="C14" s="2" t="inlineStr">
        <is>
          <t>是</t>
        </is>
      </c>
      <c r="D14" s="2" t="inlineStr"/>
      <c r="E14" s="2" t="inlineStr">
        <is>
          <t>仅活动日期；原始提交时间未知</t>
        </is>
      </c>
      <c r="F14" s="2" t="inlineStr">
        <is>
          <t>是</t>
        </is>
      </c>
      <c r="G14" s="2" t="inlineStr">
        <is>
          <t>当前未发现</t>
        </is>
      </c>
      <c r="H14" s="2" t="inlineStr">
        <is>
          <t>否</t>
        </is>
      </c>
      <c r="I14" s="2" t="inlineStr">
        <is>
          <t>否</t>
        </is>
      </c>
      <c r="J14" s="2" t="inlineStr">
        <is>
          <t>否</t>
        </is>
      </c>
      <c r="K14" s="2" t="inlineStr">
        <is>
          <t>逐题提问时间未核实；独立复核未完成</t>
        </is>
      </c>
    </row>
    <row r="15" ht="42" customHeight="1">
      <c r="A15" s="3" t="inlineStr">
        <is>
          <t>P-A14</t>
        </is>
      </c>
      <c r="B15" s="3" t="inlineStr">
        <is>
          <t>老板电器</t>
        </is>
      </c>
      <c r="C15" s="3" t="inlineStr">
        <is>
          <t>是</t>
        </is>
      </c>
      <c r="D15" s="3" t="inlineStr"/>
      <c r="E15" s="3" t="inlineStr">
        <is>
          <t>仅活动日期；原始提交时间未知</t>
        </is>
      </c>
      <c r="F15" s="3" t="inlineStr">
        <is>
          <t>是</t>
        </is>
      </c>
      <c r="G15" s="3" t="inlineStr">
        <is>
          <t>当前未发现</t>
        </is>
      </c>
      <c r="H15" s="3" t="inlineStr">
        <is>
          <t>否</t>
        </is>
      </c>
      <c r="I15" s="3" t="inlineStr">
        <is>
          <t>否</t>
        </is>
      </c>
      <c r="J15" s="3" t="inlineStr">
        <is>
          <t>否</t>
        </is>
      </c>
      <c r="K15" s="3" t="inlineStr">
        <is>
          <t>逐题提问时间未核实；独立复核未完成</t>
        </is>
      </c>
    </row>
    <row r="16" ht="42" customHeight="1">
      <c r="A16" s="2" t="inlineStr">
        <is>
          <t>P-A15</t>
        </is>
      </c>
      <c r="B16" s="2" t="inlineStr">
        <is>
          <t>立讯精密</t>
        </is>
      </c>
      <c r="C16" s="2" t="inlineStr">
        <is>
          <t>是</t>
        </is>
      </c>
      <c r="D16" s="2" t="inlineStr"/>
      <c r="E16" s="2" t="inlineStr">
        <is>
          <t>仅活动日期；原始提交时间未知</t>
        </is>
      </c>
      <c r="F16" s="2" t="inlineStr">
        <is>
          <t>是</t>
        </is>
      </c>
      <c r="G16" s="2" t="inlineStr">
        <is>
          <t>当前未发现</t>
        </is>
      </c>
      <c r="H16" s="2" t="inlineStr">
        <is>
          <t>否</t>
        </is>
      </c>
      <c r="I16" s="2" t="inlineStr">
        <is>
          <t>否</t>
        </is>
      </c>
      <c r="J16" s="2" t="inlineStr">
        <is>
          <t>否</t>
        </is>
      </c>
      <c r="K16" s="2" t="inlineStr">
        <is>
          <t>逐题提问时间未核实；独立复核未完成</t>
        </is>
      </c>
    </row>
    <row r="17" ht="42" customHeight="1">
      <c r="A17" s="3" t="inlineStr">
        <is>
          <t>P-A16</t>
        </is>
      </c>
      <c r="B17" s="3" t="inlineStr">
        <is>
          <t>立讯精密</t>
        </is>
      </c>
      <c r="C17" s="3" t="inlineStr">
        <is>
          <t>是</t>
        </is>
      </c>
      <c r="D17" s="3" t="inlineStr"/>
      <c r="E17" s="3" t="inlineStr">
        <is>
          <t>仅活动日期；原始提交时间未知</t>
        </is>
      </c>
      <c r="F17" s="3" t="inlineStr">
        <is>
          <t>是</t>
        </is>
      </c>
      <c r="G17" s="3" t="inlineStr">
        <is>
          <t>当前未发现</t>
        </is>
      </c>
      <c r="H17" s="3" t="inlineStr">
        <is>
          <t>否</t>
        </is>
      </c>
      <c r="I17" s="3" t="inlineStr">
        <is>
          <t>否</t>
        </is>
      </c>
      <c r="J17" s="3" t="inlineStr">
        <is>
          <t>否</t>
        </is>
      </c>
      <c r="K17" s="3" t="inlineStr">
        <is>
          <t>逐题提问时间未核实；独立复核未完成</t>
        </is>
      </c>
    </row>
    <row r="18" ht="42" customHeight="1">
      <c r="A18" s="2" t="inlineStr">
        <is>
          <t>P-A17</t>
        </is>
      </c>
      <c r="B18" s="2" t="inlineStr">
        <is>
          <t>立讯精密</t>
        </is>
      </c>
      <c r="C18" s="2" t="inlineStr">
        <is>
          <t>是</t>
        </is>
      </c>
      <c r="D18" s="2" t="inlineStr"/>
      <c r="E18" s="2" t="inlineStr">
        <is>
          <t>仅活动日期；原始提交时间未知</t>
        </is>
      </c>
      <c r="F18" s="2" t="inlineStr">
        <is>
          <t>否</t>
        </is>
      </c>
      <c r="G18" s="2" t="inlineStr">
        <is>
          <t>当前未发现</t>
        </is>
      </c>
      <c r="H18" s="2" t="inlineStr">
        <is>
          <t>否</t>
        </is>
      </c>
      <c r="I18" s="2" t="inlineStr">
        <is>
          <t>否</t>
        </is>
      </c>
      <c r="J18" s="2" t="inlineStr">
        <is>
          <t>否</t>
        </is>
      </c>
      <c r="K18" s="2" t="inlineStr">
        <is>
          <t>逐题提问时间未核实；独立复核未完成</t>
        </is>
      </c>
    </row>
    <row r="19" ht="42" customHeight="1">
      <c r="A19" s="3" t="inlineStr">
        <is>
          <t>P-A18</t>
        </is>
      </c>
      <c r="B19" s="3" t="inlineStr">
        <is>
          <t>立讯精密</t>
        </is>
      </c>
      <c r="C19" s="3" t="inlineStr">
        <is>
          <t>是</t>
        </is>
      </c>
      <c r="D19" s="3" t="inlineStr"/>
      <c r="E19" s="3" t="inlineStr">
        <is>
          <t>仅活动日期；原始提交时间未知</t>
        </is>
      </c>
      <c r="F19" s="3" t="inlineStr">
        <is>
          <t>是</t>
        </is>
      </c>
      <c r="G19" s="3" t="inlineStr">
        <is>
          <t>当前未发现</t>
        </is>
      </c>
      <c r="H19" s="3" t="inlineStr">
        <is>
          <t>否</t>
        </is>
      </c>
      <c r="I19" s="3" t="inlineStr">
        <is>
          <t>否</t>
        </is>
      </c>
      <c r="J19" s="3" t="inlineStr">
        <is>
          <t>否</t>
        </is>
      </c>
      <c r="K19" s="3" t="inlineStr">
        <is>
          <t>逐题提问时间未核实；独立复核未完成</t>
        </is>
      </c>
    </row>
    <row r="20" ht="42" customHeight="1">
      <c r="A20" s="2" t="inlineStr">
        <is>
          <t>P-A19</t>
        </is>
      </c>
      <c r="B20" s="2" t="inlineStr">
        <is>
          <t>立讯精密</t>
        </is>
      </c>
      <c r="C20" s="2" t="inlineStr">
        <is>
          <t>是</t>
        </is>
      </c>
      <c r="D20" s="2" t="inlineStr"/>
      <c r="E20" s="2" t="inlineStr">
        <is>
          <t>仅活动日期；原始提交时间未知</t>
        </is>
      </c>
      <c r="F20" s="2" t="inlineStr">
        <is>
          <t>是</t>
        </is>
      </c>
      <c r="G20" s="2" t="inlineStr">
        <is>
          <t>当前未发现</t>
        </is>
      </c>
      <c r="H20" s="2" t="inlineStr">
        <is>
          <t>否</t>
        </is>
      </c>
      <c r="I20" s="2" t="inlineStr">
        <is>
          <t>否</t>
        </is>
      </c>
      <c r="J20" s="2" t="inlineStr">
        <is>
          <t>否</t>
        </is>
      </c>
      <c r="K20" s="2" t="inlineStr">
        <is>
          <t>逐题提问时间未核实；独立复核未完成</t>
        </is>
      </c>
    </row>
    <row r="21" ht="42" customHeight="1">
      <c r="A21" s="3" t="inlineStr">
        <is>
          <t>P-A20</t>
        </is>
      </c>
      <c r="B21" s="3" t="inlineStr">
        <is>
          <t>立讯精密</t>
        </is>
      </c>
      <c r="C21" s="3" t="inlineStr">
        <is>
          <t>是</t>
        </is>
      </c>
      <c r="D21" s="3" t="inlineStr"/>
      <c r="E21" s="3" t="inlineStr">
        <is>
          <t>仅活动日期；原始提交时间未知</t>
        </is>
      </c>
      <c r="F21" s="3" t="inlineStr">
        <is>
          <t>是</t>
        </is>
      </c>
      <c r="G21" s="3" t="inlineStr">
        <is>
          <t>当前未发现</t>
        </is>
      </c>
      <c r="H21" s="3" t="inlineStr">
        <is>
          <t>否</t>
        </is>
      </c>
      <c r="I21" s="3" t="inlineStr">
        <is>
          <t>否</t>
        </is>
      </c>
      <c r="J21" s="3" t="inlineStr">
        <is>
          <t>否</t>
        </is>
      </c>
      <c r="K21" s="3" t="inlineStr">
        <is>
          <t>逐题提问时间未核实；独立复核未完成</t>
        </is>
      </c>
    </row>
  </sheetData>
  <autoFilter ref="A1:K21"/>
  <printOptions horizontalCentered="1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55" customWidth="1" min="6" max="6"/>
    <col width="55" customWidth="1" min="7" max="7"/>
    <col width="55" customWidth="1" min="8" max="8"/>
    <col width="55" customWidth="1" min="9" max="9"/>
    <col width="24" customWidth="1" min="10" max="10"/>
  </cols>
  <sheetData>
    <row r="1" ht="30" customHeight="1">
      <c r="A1" s="1" t="inlineStr">
        <is>
          <t>question_id</t>
        </is>
      </c>
      <c r="B1" s="1" t="inlineStr">
        <is>
          <t>company</t>
        </is>
      </c>
      <c r="C1" s="1" t="inlineStr">
        <is>
          <t>activity_date</t>
        </is>
      </c>
      <c r="D1" s="1" t="inlineStr">
        <is>
          <t>question_time_bjt</t>
        </is>
      </c>
      <c r="E1" s="1" t="inlineStr">
        <is>
          <t>time_verified</t>
        </is>
      </c>
      <c r="F1" s="1" t="inlineStr">
        <is>
          <t>official_record_url</t>
        </is>
      </c>
      <c r="G1" s="1" t="inlineStr">
        <is>
          <t>advance_collection_notice_url</t>
        </is>
      </c>
      <c r="H1" s="1" t="inlineStr">
        <is>
          <t>decision</t>
        </is>
      </c>
      <c r="I1" s="1" t="inlineStr">
        <is>
          <t>next_action</t>
        </is>
      </c>
      <c r="J1" s="1" t="inlineStr">
        <is>
          <t>checked_date_bjt</t>
        </is>
      </c>
    </row>
    <row r="2" ht="42" customHeight="1">
      <c r="A2" s="2" t="inlineStr">
        <is>
          <t>P-A10</t>
        </is>
      </c>
      <c r="B2" s="2" t="inlineStr">
        <is>
          <t>老板电器</t>
        </is>
      </c>
      <c r="C2" s="2" t="inlineStr">
        <is>
          <t>2026-05-13</t>
        </is>
      </c>
      <c r="D2" s="2" t="inlineStr"/>
      <c r="E2" s="2" t="b">
        <v>0</v>
      </c>
      <c r="F2" s="2" t="inlineStr">
        <is>
          <t>https://static.cninfo.com.cn/finalpage/2026-05-13/1225304104.PDF</t>
        </is>
      </c>
      <c r="G2" s="2" t="inlineStr">
        <is>
          <t>https://static.cninfo.com.cn/finalpage/2026-04-29/1225237778.PDF</t>
        </is>
      </c>
      <c r="H2" s="2" t="inlineStr">
        <is>
          <t>不能用活动日期/回复日期/公告日期代替提问时间</t>
        </is>
      </c>
      <c r="I2" s="2" t="inlineStr">
        <is>
          <t>优先查原问页面或带提交时间的导出；取不到则换题，保留排除记录</t>
        </is>
      </c>
      <c r="J2" s="2" t="inlineStr">
        <is>
          <t>2026-10-23</t>
        </is>
      </c>
    </row>
    <row r="3" ht="42" customHeight="1">
      <c r="A3" s="3" t="inlineStr">
        <is>
          <t>P-A11</t>
        </is>
      </c>
      <c r="B3" s="3" t="inlineStr">
        <is>
          <t>老板电器</t>
        </is>
      </c>
      <c r="C3" s="3" t="inlineStr">
        <is>
          <t>2026-05-13</t>
        </is>
      </c>
      <c r="D3" s="3" t="inlineStr"/>
      <c r="E3" s="3" t="b">
        <v>0</v>
      </c>
      <c r="F3" s="3" t="inlineStr">
        <is>
          <t>https://static.cninfo.com.cn/finalpage/2026-05-13/1225304104.PDF</t>
        </is>
      </c>
      <c r="G3" s="3" t="inlineStr">
        <is>
          <t>https://static.cninfo.com.cn/finalpage/2026-04-29/1225237778.PDF</t>
        </is>
      </c>
      <c r="H3" s="3" t="inlineStr">
        <is>
          <t>不能用活动日期/回复日期/公告日期代替提问时间</t>
        </is>
      </c>
      <c r="I3" s="3" t="inlineStr">
        <is>
          <t>优先查原问页面或带提交时间的导出；取不到则换题，保留排除记录</t>
        </is>
      </c>
      <c r="J3" s="3" t="inlineStr">
        <is>
          <t>2026-10-23</t>
        </is>
      </c>
    </row>
    <row r="4" ht="42" customHeight="1">
      <c r="A4" s="2" t="inlineStr">
        <is>
          <t>P-A12</t>
        </is>
      </c>
      <c r="B4" s="2" t="inlineStr">
        <is>
          <t>老板电器</t>
        </is>
      </c>
      <c r="C4" s="2" t="inlineStr">
        <is>
          <t>2026-05-13</t>
        </is>
      </c>
      <c r="D4" s="2" t="inlineStr"/>
      <c r="E4" s="2" t="b">
        <v>0</v>
      </c>
      <c r="F4" s="2" t="inlineStr">
        <is>
          <t>https://static.cninfo.com.cn/finalpage/2026-05-13/1225304104.PDF</t>
        </is>
      </c>
      <c r="G4" s="2" t="inlineStr">
        <is>
          <t>https://static.cninfo.com.cn/finalpage/2026-04-29/1225237778.PDF</t>
        </is>
      </c>
      <c r="H4" s="2" t="inlineStr">
        <is>
          <t>不能用活动日期/回复日期/公告日期代替提问时间</t>
        </is>
      </c>
      <c r="I4" s="2" t="inlineStr">
        <is>
          <t>优先查原问页面或带提交时间的导出；取不到则换题，保留排除记录</t>
        </is>
      </c>
      <c r="J4" s="2" t="inlineStr">
        <is>
          <t>2026-10-23</t>
        </is>
      </c>
    </row>
    <row r="5" ht="42" customHeight="1">
      <c r="A5" s="3" t="inlineStr">
        <is>
          <t>P-A13</t>
        </is>
      </c>
      <c r="B5" s="3" t="inlineStr">
        <is>
          <t>老板电器</t>
        </is>
      </c>
      <c r="C5" s="3" t="inlineStr">
        <is>
          <t>2026-05-13</t>
        </is>
      </c>
      <c r="D5" s="3" t="inlineStr"/>
      <c r="E5" s="3" t="b">
        <v>0</v>
      </c>
      <c r="F5" s="3" t="inlineStr">
        <is>
          <t>https://static.cninfo.com.cn/finalpage/2026-05-13/1225304104.PDF</t>
        </is>
      </c>
      <c r="G5" s="3" t="inlineStr">
        <is>
          <t>https://static.cninfo.com.cn/finalpage/2026-04-29/1225237778.PDF</t>
        </is>
      </c>
      <c r="H5" s="3" t="inlineStr">
        <is>
          <t>不能用活动日期/回复日期/公告日期代替提问时间</t>
        </is>
      </c>
      <c r="I5" s="3" t="inlineStr">
        <is>
          <t>优先查原问页面或带提交时间的导出；取不到则换题，保留排除记录</t>
        </is>
      </c>
      <c r="J5" s="3" t="inlineStr">
        <is>
          <t>2026-10-23</t>
        </is>
      </c>
    </row>
    <row r="6" ht="42" customHeight="1">
      <c r="A6" s="2" t="inlineStr">
        <is>
          <t>P-A14</t>
        </is>
      </c>
      <c r="B6" s="2" t="inlineStr">
        <is>
          <t>老板电器</t>
        </is>
      </c>
      <c r="C6" s="2" t="inlineStr">
        <is>
          <t>2026-05-13</t>
        </is>
      </c>
      <c r="D6" s="2" t="inlineStr"/>
      <c r="E6" s="2" t="b">
        <v>0</v>
      </c>
      <c r="F6" s="2" t="inlineStr">
        <is>
          <t>https://static.cninfo.com.cn/finalpage/2026-05-13/1225304104.PDF</t>
        </is>
      </c>
      <c r="G6" s="2" t="inlineStr">
        <is>
          <t>https://static.cninfo.com.cn/finalpage/2026-04-29/1225237778.PDF</t>
        </is>
      </c>
      <c r="H6" s="2" t="inlineStr">
        <is>
          <t>不能用活动日期/回复日期/公告日期代替提问时间</t>
        </is>
      </c>
      <c r="I6" s="2" t="inlineStr">
        <is>
          <t>优先查原问页面或带提交时间的导出；取不到则换题，保留排除记录</t>
        </is>
      </c>
      <c r="J6" s="2" t="inlineStr">
        <is>
          <t>2026-10-23</t>
        </is>
      </c>
    </row>
    <row r="7" ht="42" customHeight="1">
      <c r="A7" s="3" t="inlineStr">
        <is>
          <t>P-A15</t>
        </is>
      </c>
      <c r="B7" s="3" t="inlineStr">
        <is>
          <t>立讯精密</t>
        </is>
      </c>
      <c r="C7" s="3" t="inlineStr">
        <is>
          <t>2026-05-06</t>
        </is>
      </c>
      <c r="D7" s="3" t="inlineStr"/>
      <c r="E7" s="3" t="b">
        <v>0</v>
      </c>
      <c r="F7" s="3" t="inlineStr">
        <is>
          <t>https://static.cninfo.com.cn/finalpage/2026-05-07/1225280960.PDF</t>
        </is>
      </c>
      <c r="G7" s="3" t="inlineStr">
        <is>
          <t>https://money.finance.sina.com.cn/corp/view/vCB_AllBulletinDetail.php?id=12129431&amp;stockid=002475</t>
        </is>
      </c>
      <c r="H7" s="3" t="inlineStr">
        <is>
          <t>不能用活动日期/回复日期/公告日期代替提问时间</t>
        </is>
      </c>
      <c r="I7" s="3" t="inlineStr">
        <is>
          <t>优先查原问页面或带提交时间的导出；取不到则换题，保留排除记录</t>
        </is>
      </c>
      <c r="J7" s="3" t="inlineStr">
        <is>
          <t>2026-10-23</t>
        </is>
      </c>
    </row>
    <row r="8" ht="42" customHeight="1">
      <c r="A8" s="2" t="inlineStr">
        <is>
          <t>P-A16</t>
        </is>
      </c>
      <c r="B8" s="2" t="inlineStr">
        <is>
          <t>立讯精密</t>
        </is>
      </c>
      <c r="C8" s="2" t="inlineStr">
        <is>
          <t>2026-05-06</t>
        </is>
      </c>
      <c r="D8" s="2" t="inlineStr"/>
      <c r="E8" s="2" t="b">
        <v>0</v>
      </c>
      <c r="F8" s="2" t="inlineStr">
        <is>
          <t>https://static.cninfo.com.cn/finalpage/2026-05-07/1225280960.PDF</t>
        </is>
      </c>
      <c r="G8" s="2" t="inlineStr">
        <is>
          <t>https://money.finance.sina.com.cn/corp/view/vCB_AllBulletinDetail.php?id=12129431&amp;stockid=002475</t>
        </is>
      </c>
      <c r="H8" s="2" t="inlineStr">
        <is>
          <t>不能用活动日期/回复日期/公告日期代替提问时间</t>
        </is>
      </c>
      <c r="I8" s="2" t="inlineStr">
        <is>
          <t>优先查原问页面或带提交时间的导出；取不到则换题，保留排除记录</t>
        </is>
      </c>
      <c r="J8" s="2" t="inlineStr">
        <is>
          <t>2026-10-23</t>
        </is>
      </c>
    </row>
    <row r="9" ht="42" customHeight="1">
      <c r="A9" s="3" t="inlineStr">
        <is>
          <t>P-A17</t>
        </is>
      </c>
      <c r="B9" s="3" t="inlineStr">
        <is>
          <t>立讯精密</t>
        </is>
      </c>
      <c r="C9" s="3" t="inlineStr">
        <is>
          <t>2026-05-06</t>
        </is>
      </c>
      <c r="D9" s="3" t="inlineStr"/>
      <c r="E9" s="3" t="b">
        <v>0</v>
      </c>
      <c r="F9" s="3" t="inlineStr">
        <is>
          <t>https://static.cninfo.com.cn/finalpage/2026-05-07/1225280960.PDF</t>
        </is>
      </c>
      <c r="G9" s="3" t="inlineStr">
        <is>
          <t>https://money.finance.sina.com.cn/corp/view/vCB_AllBulletinDetail.php?id=12129431&amp;stockid=002475</t>
        </is>
      </c>
      <c r="H9" s="3" t="inlineStr">
        <is>
          <t>不能用活动日期/回复日期/公告日期代替提问时间</t>
        </is>
      </c>
      <c r="I9" s="3" t="inlineStr">
        <is>
          <t>优先查原问页面或带提交时间的导出；取不到则换题，保留排除记录</t>
        </is>
      </c>
      <c r="J9" s="3" t="inlineStr">
        <is>
          <t>2026-10-23</t>
        </is>
      </c>
    </row>
    <row r="10" ht="42" customHeight="1">
      <c r="A10" s="2" t="inlineStr">
        <is>
          <t>P-A18</t>
        </is>
      </c>
      <c r="B10" s="2" t="inlineStr">
        <is>
          <t>立讯精密</t>
        </is>
      </c>
      <c r="C10" s="2" t="inlineStr">
        <is>
          <t>2026-05-06</t>
        </is>
      </c>
      <c r="D10" s="2" t="inlineStr"/>
      <c r="E10" s="2" t="b">
        <v>0</v>
      </c>
      <c r="F10" s="2" t="inlineStr">
        <is>
          <t>https://static.cninfo.com.cn/finalpage/2026-05-07/1225280960.PDF</t>
        </is>
      </c>
      <c r="G10" s="2" t="inlineStr">
        <is>
          <t>https://money.finance.sina.com.cn/corp/view/vCB_AllBulletinDetail.php?id=12129431&amp;stockid=002475</t>
        </is>
      </c>
      <c r="H10" s="2" t="inlineStr">
        <is>
          <t>不能用活动日期/回复日期/公告日期代替提问时间</t>
        </is>
      </c>
      <c r="I10" s="2" t="inlineStr">
        <is>
          <t>优先查原问页面或带提交时间的导出；取不到则换题，保留排除记录</t>
        </is>
      </c>
      <c r="J10" s="2" t="inlineStr">
        <is>
          <t>2026-10-23</t>
        </is>
      </c>
    </row>
    <row r="11" ht="42" customHeight="1">
      <c r="A11" s="3" t="inlineStr">
        <is>
          <t>P-A19</t>
        </is>
      </c>
      <c r="B11" s="3" t="inlineStr">
        <is>
          <t>立讯精密</t>
        </is>
      </c>
      <c r="C11" s="3" t="inlineStr">
        <is>
          <t>2026-05-06</t>
        </is>
      </c>
      <c r="D11" s="3" t="inlineStr"/>
      <c r="E11" s="3" t="b">
        <v>0</v>
      </c>
      <c r="F11" s="3" t="inlineStr">
        <is>
          <t>https://static.cninfo.com.cn/finalpage/2026-05-07/1225280960.PDF</t>
        </is>
      </c>
      <c r="G11" s="3" t="inlineStr">
        <is>
          <t>https://money.finance.sina.com.cn/corp/view/vCB_AllBulletinDetail.php?id=12129431&amp;stockid=002475</t>
        </is>
      </c>
      <c r="H11" s="3" t="inlineStr">
        <is>
          <t>不能用活动日期/回复日期/公告日期代替提问时间</t>
        </is>
      </c>
      <c r="I11" s="3" t="inlineStr">
        <is>
          <t>优先查原问页面或带提交时间的导出；取不到则换题，保留排除记录</t>
        </is>
      </c>
      <c r="J11" s="3" t="inlineStr">
        <is>
          <t>2026-10-23</t>
        </is>
      </c>
    </row>
    <row r="12" ht="42" customHeight="1">
      <c r="A12" s="2" t="inlineStr">
        <is>
          <t>P-A20</t>
        </is>
      </c>
      <c r="B12" s="2" t="inlineStr">
        <is>
          <t>立讯精密</t>
        </is>
      </c>
      <c r="C12" s="2" t="inlineStr">
        <is>
          <t>2026-05-06</t>
        </is>
      </c>
      <c r="D12" s="2" t="inlineStr"/>
      <c r="E12" s="2" t="b">
        <v>0</v>
      </c>
      <c r="F12" s="2" t="inlineStr">
        <is>
          <t>https://static.cninfo.com.cn/finalpage/2026-05-07/1225280960.PDF</t>
        </is>
      </c>
      <c r="G12" s="2" t="inlineStr">
        <is>
          <t>https://money.finance.sina.com.cn/corp/view/vCB_AllBulletinDetail.php?id=12129431&amp;stockid=002475</t>
        </is>
      </c>
      <c r="H12" s="2" t="inlineStr">
        <is>
          <t>不能用活动日期/回复日期/公告日期代替提问时间</t>
        </is>
      </c>
      <c r="I12" s="2" t="inlineStr">
        <is>
          <t>优先查原问页面或带提交时间的导出；取不到则换题，保留排除记录</t>
        </is>
      </c>
      <c r="J12" s="2" t="inlineStr">
        <is>
          <t>2026-10-23</t>
        </is>
      </c>
    </row>
  </sheetData>
  <autoFilter ref="A1:J12"/>
  <printOptions horizontalCentered="1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30" customHeight="1">
      <c r="A1" s="1" t="inlineStr">
        <is>
          <t>模型</t>
        </is>
      </c>
      <c r="B1" s="1" t="inlineStr">
        <is>
          <t>配置/地域</t>
        </is>
      </c>
      <c r="C1" s="1" t="inlineStr">
        <is>
          <t>输入未命中元每百万</t>
        </is>
      </c>
      <c r="D1" s="1" t="inlineStr">
        <is>
          <t>输入命中元每百万</t>
        </is>
      </c>
      <c r="E1" s="1" t="inlineStr">
        <is>
          <t>输出元每百万</t>
        </is>
      </c>
      <c r="F1" s="1" t="inlineStr">
        <is>
          <t>适用条件</t>
        </is>
      </c>
      <c r="G1" s="1" t="inlineStr">
        <is>
          <t>状态</t>
        </is>
      </c>
    </row>
    <row r="2" ht="42" customHeight="1">
      <c r="A2" s="2" t="inlineStr">
        <is>
          <t>DeepSeek Flash高峰</t>
        </is>
      </c>
      <c r="B2" s="2" t="inlineStr">
        <is>
          <t>deepseek-flash</t>
        </is>
      </c>
      <c r="C2" s="2" t="n">
        <v>2</v>
      </c>
      <c r="D2" s="2" t="n">
        <v>0.04</v>
      </c>
      <c r="E2" s="2" t="n">
        <v>8</v>
      </c>
      <c r="F2" s="2" t="inlineStr">
        <is>
          <t>北京时间工作日非节假日09–12、14–18</t>
        </is>
      </c>
      <c r="G2" s="2" t="inlineStr">
        <is>
          <t>建议；未验证账户</t>
        </is>
      </c>
    </row>
    <row r="3" ht="42" customHeight="1">
      <c r="A3" s="3" t="inlineStr">
        <is>
          <t>DeepSeek Flash空闲</t>
        </is>
      </c>
      <c r="B3" s="3" t="inlineStr">
        <is>
          <t>deepseek-flash</t>
        </is>
      </c>
      <c r="C3" s="3" t="n">
        <v>1</v>
      </c>
      <c r="D3" s="3" t="n">
        <v>0.02</v>
      </c>
      <c r="E3" s="3" t="n">
        <v>4</v>
      </c>
      <c r="F3" s="3" t="inlineStr">
        <is>
          <t>上述高峰以外</t>
        </is>
      </c>
      <c r="G3" s="3" t="inlineStr">
        <is>
          <t>建议；未验证账户</t>
        </is>
      </c>
    </row>
    <row r="4" ht="42" customHeight="1">
      <c r="A4" s="2" t="inlineStr">
        <is>
          <t>千问首档</t>
        </is>
      </c>
      <c r="B4" s="2" t="inlineStr">
        <is>
          <t>qwen3.7-flash-2026-07-15 / 北京</t>
        </is>
      </c>
      <c r="C4" s="2" t="n">
        <v>0.2</v>
      </c>
      <c r="D4" s="2" t="n"/>
      <c r="E4" s="2" t="n">
        <v>0.8</v>
      </c>
      <c r="F4" s="2" t="inlineStr">
        <is>
          <t>0&lt;完整输入Token≤32000；缓存另核</t>
        </is>
      </c>
      <c r="G4" s="2" t="inlineStr">
        <is>
          <t>建议；未验证账户</t>
        </is>
      </c>
    </row>
    <row r="5" ht="42" customHeight="1">
      <c r="A5" s="3" t="inlineStr">
        <is>
          <t>千问第二档</t>
        </is>
      </c>
      <c r="B5" s="3" t="inlineStr">
        <is>
          <t>同上</t>
        </is>
      </c>
      <c r="C5" s="3" t="n">
        <v>0.6</v>
      </c>
      <c r="D5" s="3" t="n"/>
      <c r="E5" s="3" t="n">
        <v>2.4</v>
      </c>
      <c r="F5" s="3" t="inlineStr">
        <is>
          <t>32000&lt;完整输入Token≤256000</t>
        </is>
      </c>
      <c r="G5" s="3" t="inlineStr">
        <is>
          <t>建议；未验证账户</t>
        </is>
      </c>
    </row>
    <row r="6" ht="42" customHeight="1">
      <c r="A6" s="2" t="inlineStr">
        <is>
          <t>千问第三档</t>
        </is>
      </c>
      <c r="B6" s="2" t="inlineStr">
        <is>
          <t>同上</t>
        </is>
      </c>
      <c r="C6" s="2" t="n">
        <v>1.2</v>
      </c>
      <c r="D6" s="2" t="n"/>
      <c r="E6" s="2" t="n">
        <v>4.8</v>
      </c>
      <c r="F6" s="2" t="inlineStr">
        <is>
          <t>256000&lt;完整输入Token≤1000000</t>
        </is>
      </c>
      <c r="G6" s="2" t="inlineStr">
        <is>
          <t>建议；未验证账户</t>
        </is>
      </c>
    </row>
  </sheetData>
  <autoFilter ref="A1:G6"/>
  <printOptions horizontalCentered="1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  <col width="65" customWidth="1" min="4" max="4"/>
  </cols>
  <sheetData>
    <row r="1" ht="30" customHeight="1">
      <c r="A1" s="1" t="inlineStr">
        <is>
          <t>参数/指标</t>
        </is>
      </c>
      <c r="B1" s="1" t="inlineStr">
        <is>
          <t>基准情景</t>
        </is>
      </c>
      <c r="C1" s="1" t="inlineStr">
        <is>
          <t>压力情景</t>
        </is>
      </c>
      <c r="D1" s="1" t="inlineStr">
        <is>
          <t>说明</t>
        </is>
      </c>
    </row>
    <row r="2" ht="42" customHeight="1">
      <c r="A2" s="2" t="inlineStr">
        <is>
          <t>接口调试请求数</t>
        </is>
      </c>
      <c r="B2" s="2" t="n">
        <v>8</v>
      </c>
      <c r="C2" s="2" t="n">
        <v>8</v>
      </c>
      <c r="D2" s="2" t="inlineStr">
        <is>
          <t>2题×2模型×2流程</t>
        </is>
      </c>
    </row>
    <row r="3" ht="42" customHeight="1">
      <c r="A3" s="3" t="inlineStr">
        <is>
          <t>20题预实验请求数</t>
        </is>
      </c>
      <c r="B3" s="3" t="n">
        <v>80</v>
      </c>
      <c r="C3" s="3" t="n">
        <v>80</v>
      </c>
      <c r="D3" s="3" t="inlineStr">
        <is>
          <t>尚未运行</t>
        </is>
      </c>
    </row>
    <row r="4" ht="42" customHeight="1">
      <c r="A4" s="2" t="inlineStr">
        <is>
          <t>80题正式请求数</t>
        </is>
      </c>
      <c r="B4" s="2" t="n">
        <v>320</v>
      </c>
      <c r="C4" s="2" t="n">
        <v>320</v>
      </c>
      <c r="D4" s="2" t="inlineStr">
        <is>
          <t>尚未运行；人工AI初稿复用预选正式输出</t>
        </is>
      </c>
    </row>
    <row r="5" ht="42" customHeight="1">
      <c r="A5" s="3" t="inlineStr">
        <is>
          <t>总计划请求数</t>
        </is>
      </c>
      <c r="B5" s="4">
        <f>SUM(B2:B4)</f>
        <v>408</v>
      </c>
      <c r="C5" s="4">
        <f>SUM(C2:C4)</f>
        <v>408</v>
      </c>
      <c r="D5" s="3" t="inlineStr">
        <is>
          <t>不含额外重复与失败；用预留覆盖部分增量</t>
        </is>
      </c>
    </row>
    <row r="6" ht="42" customHeight="1">
      <c r="A6" s="2" t="inlineStr">
        <is>
          <t>各模型请求数</t>
        </is>
      </c>
      <c r="B6" s="5">
        <f>B5/2</f>
        <v>204</v>
      </c>
      <c r="C6" s="5">
        <f>C5/2</f>
        <v>204</v>
      </c>
      <c r="D6" s="2" t="inlineStr">
        <is>
          <t>两模型均分</t>
        </is>
      </c>
    </row>
    <row r="7" ht="42" customHeight="1">
      <c r="A7" s="3" t="inlineStr">
        <is>
          <t>每次输入Token假设</t>
        </is>
      </c>
      <c r="B7" s="3" t="n">
        <v>6000</v>
      </c>
      <c r="C7" s="3" t="n">
        <v>30000</v>
      </c>
      <c r="D7" s="3" t="inlineStr">
        <is>
          <t>包括系统提示；各模型实际Token可能不同</t>
        </is>
      </c>
    </row>
    <row r="8" ht="42" customHeight="1">
      <c r="A8" s="2" t="inlineStr">
        <is>
          <t>每次输出Token假设</t>
        </is>
      </c>
      <c r="B8" s="2" t="n">
        <v>800</v>
      </c>
      <c r="C8" s="2" t="n">
        <v>2048</v>
      </c>
      <c r="D8" s="2" t="inlineStr">
        <is>
          <t>不是已测量字数或Token</t>
        </is>
      </c>
    </row>
    <row r="9" ht="42" customHeight="1">
      <c r="A9" s="3" t="inlineStr">
        <is>
          <t>DeepSeek输入单价</t>
        </is>
      </c>
      <c r="B9" s="6">
        <f>'03_价格与配置'!C2</f>
        <v>2</v>
      </c>
      <c r="C9" s="6">
        <f>'03_价格与配置'!C2</f>
        <v>2</v>
      </c>
      <c r="D9" s="3" t="inlineStr">
        <is>
          <t>高峰、未命中</t>
        </is>
      </c>
    </row>
    <row r="10" ht="42" customHeight="1">
      <c r="A10" s="2" t="inlineStr">
        <is>
          <t>DeepSeek输出单价</t>
        </is>
      </c>
      <c r="B10" s="7">
        <f>'03_价格与配置'!E2</f>
        <v>8</v>
      </c>
      <c r="C10" s="7">
        <f>'03_价格与配置'!E2</f>
        <v>8</v>
      </c>
      <c r="D10" s="2" t="inlineStr">
        <is>
          <t>人民币/百万Token</t>
        </is>
      </c>
    </row>
    <row r="11" ht="42" customHeight="1">
      <c r="A11" s="3" t="inlineStr">
        <is>
          <t>千问输入单价</t>
        </is>
      </c>
      <c r="B11" s="6">
        <f>IF(B7&lt;=32000,0.2,IF(B7&lt;=256000,0.6,1.2))</f>
        <v>0.2</v>
      </c>
      <c r="C11" s="6">
        <f>IF(C7&lt;=32000,0.2,IF(C7&lt;=256000,0.6,1.2))</f>
        <v>0.2</v>
      </c>
      <c r="D11" s="3" t="inlineStr">
        <is>
          <t>完整输入所在档；不得超1M</t>
        </is>
      </c>
    </row>
    <row r="12" ht="42" customHeight="1">
      <c r="A12" s="2" t="inlineStr">
        <is>
          <t>千问输出单价</t>
        </is>
      </c>
      <c r="B12" s="7">
        <f>IF(B7&lt;=32000,0.8,IF(B7&lt;=256000,2.4,4.8))</f>
        <v>0.8</v>
      </c>
      <c r="C12" s="7">
        <f>IF(C7&lt;=32000,0.8,IF(C7&lt;=256000,2.4,4.8))</f>
        <v>0.8</v>
      </c>
      <c r="D12" s="2" t="inlineStr">
        <is>
          <t>所有输出按对应输入档计价</t>
        </is>
      </c>
    </row>
    <row r="13" ht="42" customHeight="1">
      <c r="A13" s="3" t="inlineStr">
        <is>
          <t>DeepSeek生成费</t>
        </is>
      </c>
      <c r="B13" s="6">
        <f>B6*(B7*B9+B8*B10)/1000000</f>
        <v>3.7536</v>
      </c>
      <c r="C13" s="6">
        <f>C6*(C7*C9+C8*C10)/1000000</f>
        <v>15.582336</v>
      </c>
      <c r="D13" s="3" t="inlineStr">
        <is>
          <t>未计缓存优惠</t>
        </is>
      </c>
    </row>
    <row r="14" ht="42" customHeight="1">
      <c r="A14" s="2" t="inlineStr">
        <is>
          <t>千问生成费</t>
        </is>
      </c>
      <c r="B14" s="7">
        <f>B6*(B7*B11+B8*B12)/1000000</f>
        <v>0.37536</v>
      </c>
      <c r="C14" s="7">
        <f>C6*(C7*C11+C8*C12)/1000000</f>
        <v>1.5582336</v>
      </c>
      <c r="D14" s="2" t="inlineStr">
        <is>
          <t>未计赠额</t>
        </is>
      </c>
    </row>
    <row r="15" ht="42" customHeight="1">
      <c r="A15" s="3" t="inlineStr">
        <is>
          <t>基础合计</t>
        </is>
      </c>
      <c r="B15" s="6">
        <f>SUM(B13:B14)</f>
        <v>4.12896</v>
      </c>
      <c r="C15" s="6">
        <f>SUM(C13:C14)</f>
        <v>17.1405696</v>
      </c>
      <c r="D15" s="3" t="inlineStr">
        <is>
          <t>仅模型API</t>
        </is>
      </c>
    </row>
    <row r="16" ht="42" customHeight="1">
      <c r="A16" s="2" t="inlineStr">
        <is>
          <t>预算预留比例</t>
        </is>
      </c>
      <c r="B16" s="8" t="n">
        <v>0.3</v>
      </c>
      <c r="C16" s="8" t="n">
        <v>0.3</v>
      </c>
      <c r="D16" s="2" t="inlineStr">
        <is>
          <t>规划预留，不是实测重试率</t>
        </is>
      </c>
    </row>
    <row r="17" ht="42" customHeight="1">
      <c r="A17" s="3" t="inlineStr">
        <is>
          <t>含预留合计</t>
        </is>
      </c>
      <c r="B17" s="6">
        <f>B15*(1+B16)</f>
        <v>5.367648</v>
      </c>
      <c r="C17" s="6">
        <f>C15*(1+C16)</f>
        <v>22.28274048</v>
      </c>
      <c r="D17" s="3" t="inlineStr">
        <is>
          <t>假设估算</t>
        </is>
      </c>
    </row>
    <row r="18" ht="42" customHeight="1">
      <c r="A18" s="2" t="inlineStr">
        <is>
          <t>API预算上限</t>
        </is>
      </c>
      <c r="B18" s="9" t="n">
        <v>100</v>
      </c>
      <c r="C18" s="9" t="n">
        <v>100</v>
      </c>
      <c r="D18" s="2" t="inlineStr">
        <is>
          <t>不含人工等经济成本</t>
        </is>
      </c>
    </row>
    <row r="19" ht="42" customHeight="1">
      <c r="A19" s="3" t="inlineStr">
        <is>
          <t>假设预算余额</t>
        </is>
      </c>
      <c r="B19" s="6">
        <f>B18-B17</f>
        <v>94.632352</v>
      </c>
      <c r="C19" s="6">
        <f>C18-C17</f>
        <v>77.71725952</v>
      </c>
      <c r="D19" s="3" t="inlineStr">
        <is>
          <t>不是账户余额</t>
        </is>
      </c>
    </row>
    <row r="20" ht="42" customHeight="1">
      <c r="A20" s="2" t="inlineStr">
        <is>
          <t>实测Token返回后是否需更新</t>
        </is>
      </c>
      <c r="B20" s="2" t="inlineStr">
        <is>
          <t>是</t>
        </is>
      </c>
      <c r="C20" s="2" t="inlineStr">
        <is>
          <t>是</t>
        </is>
      </c>
      <c r="D20" s="2" t="inlineStr">
        <is>
          <t>根据C回传，而非继续用假设写结果</t>
        </is>
      </c>
    </row>
  </sheetData>
  <autoFilter ref="A1:D20"/>
  <dataValidations count="1">
    <dataValidation sqref="B7:C7" showDropDown="0" showInputMessage="0" showErrorMessage="1" allowBlank="0" errorTitle="输入范围" error="输入Token假设必须在1至1000000之间" type="decimal" operator="between">
      <formula1>1</formula1>
      <formula2>1000000</formula2>
    </dataValidation>
  </dataValidations>
  <printOptions horizontalCentered="1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T9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</cols>
  <sheetData>
    <row r="1" ht="30" customHeight="1">
      <c r="A1" s="1" t="inlineStr">
        <is>
          <t>run_id</t>
        </is>
      </c>
      <c r="B1" s="1" t="inlineStr">
        <is>
          <t>question_id</t>
        </is>
      </c>
      <c r="C1" s="1" t="inlineStr">
        <is>
          <t>model_family</t>
        </is>
      </c>
      <c r="D1" s="1" t="inlineStr">
        <is>
          <t>workflow</t>
        </is>
      </c>
      <c r="E1" s="1" t="inlineStr">
        <is>
          <t>status</t>
        </is>
      </c>
      <c r="F1" s="1" t="inlineStr">
        <is>
          <t>requested_model_actual</t>
        </is>
      </c>
      <c r="G1" s="1" t="inlineStr">
        <is>
          <t>response_model_actual</t>
        </is>
      </c>
      <c r="H1" s="1" t="inlineStr">
        <is>
          <t>region_actual</t>
        </is>
      </c>
      <c r="I1" s="1" t="inlineStr">
        <is>
          <t>thinking_actual</t>
        </is>
      </c>
      <c r="J1" s="1" t="inlineStr">
        <is>
          <t>request_time_bjt</t>
        </is>
      </c>
      <c r="K1" s="1" t="inlineStr">
        <is>
          <t>input_tokens</t>
        </is>
      </c>
      <c r="L1" s="1" t="inlineStr">
        <is>
          <t>cached_input_tokens</t>
        </is>
      </c>
      <c r="M1" s="1" t="inlineStr">
        <is>
          <t>output_billed_tokens</t>
        </is>
      </c>
      <c r="N1" s="1" t="inlineStr">
        <is>
          <t>bill_consumption_cny</t>
        </is>
      </c>
      <c r="O1" s="1" t="inlineStr">
        <is>
          <t>cash_debit_cny</t>
        </is>
      </c>
      <c r="P1" s="1" t="inlineStr">
        <is>
          <t>standard_price_cost_cny</t>
        </is>
      </c>
      <c r="Q1" s="1" t="inlineStr">
        <is>
          <t>finish_reason</t>
        </is>
      </c>
      <c r="R1" s="1" t="inlineStr">
        <is>
          <t>retry_of</t>
        </is>
      </c>
      <c r="S1" s="1" t="inlineStr">
        <is>
          <t>raw_response_file</t>
        </is>
      </c>
      <c r="T1" s="1" t="inlineStr">
        <is>
          <t>note</t>
        </is>
      </c>
    </row>
    <row r="2" ht="42" customHeight="1">
      <c r="A2" s="2" t="inlineStr">
        <is>
          <t>S07-01</t>
        </is>
      </c>
      <c r="B2" s="2" t="inlineStr">
        <is>
          <t>P-A07</t>
        </is>
      </c>
      <c r="C2" s="2" t="inlineStr">
        <is>
          <t>DeepSeek</t>
        </is>
      </c>
      <c r="D2" s="2" t="inlineStr">
        <is>
          <t>direct</t>
        </is>
      </c>
      <c r="E2" s="2" t="inlineStr">
        <is>
          <t>not_run</t>
        </is>
      </c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inlineStr">
        <is>
          <t>待C填实际；v07建议配置不是实际请求</t>
        </is>
      </c>
    </row>
    <row r="3" ht="42" customHeight="1">
      <c r="A3" s="3" t="inlineStr">
        <is>
          <t>S07-02</t>
        </is>
      </c>
      <c r="B3" s="3" t="inlineStr">
        <is>
          <t>P-A07</t>
        </is>
      </c>
      <c r="C3" s="3" t="inlineStr">
        <is>
          <t>DeepSeek</t>
        </is>
      </c>
      <c r="D3" s="3" t="inlineStr">
        <is>
          <t>boundary</t>
        </is>
      </c>
      <c r="E3" s="3" t="inlineStr">
        <is>
          <t>not_run</t>
        </is>
      </c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inlineStr">
        <is>
          <t>待C填实际；v07建议配置不是实际请求</t>
        </is>
      </c>
    </row>
    <row r="4" ht="42" customHeight="1">
      <c r="A4" s="2" t="inlineStr">
        <is>
          <t>S07-03</t>
        </is>
      </c>
      <c r="B4" s="2" t="inlineStr">
        <is>
          <t>P-A07</t>
        </is>
      </c>
      <c r="C4" s="2" t="inlineStr">
        <is>
          <t>千问</t>
        </is>
      </c>
      <c r="D4" s="2" t="inlineStr">
        <is>
          <t>direct</t>
        </is>
      </c>
      <c r="E4" s="2" t="inlineStr">
        <is>
          <t>not_run</t>
        </is>
      </c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inlineStr">
        <is>
          <t>待C填实际；v07建议配置不是实际请求</t>
        </is>
      </c>
    </row>
    <row r="5" ht="42" customHeight="1">
      <c r="A5" s="3" t="inlineStr">
        <is>
          <t>S07-04</t>
        </is>
      </c>
      <c r="B5" s="3" t="inlineStr">
        <is>
          <t>P-A07</t>
        </is>
      </c>
      <c r="C5" s="3" t="inlineStr">
        <is>
          <t>千问</t>
        </is>
      </c>
      <c r="D5" s="3" t="inlineStr">
        <is>
          <t>boundary</t>
        </is>
      </c>
      <c r="E5" s="3" t="inlineStr">
        <is>
          <t>not_run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inlineStr">
        <is>
          <t>待C填实际；v07建议配置不是实际请求</t>
        </is>
      </c>
    </row>
    <row r="6" ht="42" customHeight="1">
      <c r="A6" s="2" t="inlineStr">
        <is>
          <t>S07-05</t>
        </is>
      </c>
      <c r="B6" s="2" t="inlineStr">
        <is>
          <t>P-A08</t>
        </is>
      </c>
      <c r="C6" s="2" t="inlineStr">
        <is>
          <t>DeepSeek</t>
        </is>
      </c>
      <c r="D6" s="2" t="inlineStr">
        <is>
          <t>direct</t>
        </is>
      </c>
      <c r="E6" s="2" t="inlineStr">
        <is>
          <t>not_run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inlineStr">
        <is>
          <t>待C填实际；v07建议配置不是实际请求</t>
        </is>
      </c>
    </row>
    <row r="7" ht="42" customHeight="1">
      <c r="A7" s="3" t="inlineStr">
        <is>
          <t>S07-06</t>
        </is>
      </c>
      <c r="B7" s="3" t="inlineStr">
        <is>
          <t>P-A08</t>
        </is>
      </c>
      <c r="C7" s="3" t="inlineStr">
        <is>
          <t>DeepSeek</t>
        </is>
      </c>
      <c r="D7" s="3" t="inlineStr">
        <is>
          <t>boundary</t>
        </is>
      </c>
      <c r="E7" s="3" t="inlineStr">
        <is>
          <t>not_run</t>
        </is>
      </c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inlineStr">
        <is>
          <t>待C填实际；v07建议配置不是实际请求</t>
        </is>
      </c>
    </row>
    <row r="8" ht="42" customHeight="1">
      <c r="A8" s="2" t="inlineStr">
        <is>
          <t>S07-07</t>
        </is>
      </c>
      <c r="B8" s="2" t="inlineStr">
        <is>
          <t>P-A08</t>
        </is>
      </c>
      <c r="C8" s="2" t="inlineStr">
        <is>
          <t>千问</t>
        </is>
      </c>
      <c r="D8" s="2" t="inlineStr">
        <is>
          <t>direct</t>
        </is>
      </c>
      <c r="E8" s="2" t="inlineStr">
        <is>
          <t>not_run</t>
        </is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inlineStr">
        <is>
          <t>待C填实际；v07建议配置不是实际请求</t>
        </is>
      </c>
    </row>
    <row r="9" ht="42" customHeight="1">
      <c r="A9" s="3" t="inlineStr">
        <is>
          <t>S07-08</t>
        </is>
      </c>
      <c r="B9" s="3" t="inlineStr">
        <is>
          <t>P-A08</t>
        </is>
      </c>
      <c r="C9" s="3" t="inlineStr">
        <is>
          <t>千问</t>
        </is>
      </c>
      <c r="D9" s="3" t="inlineStr">
        <is>
          <t>boundary</t>
        </is>
      </c>
      <c r="E9" s="3" t="inlineStr">
        <is>
          <t>not_run</t>
        </is>
      </c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inlineStr">
        <is>
          <t>待C填实际；v07建议配置不是实际请求</t>
        </is>
      </c>
    </row>
  </sheetData>
  <autoFilter ref="A1:T9"/>
  <printOptions horizontalCentered="1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65" customWidth="1" min="3" max="3"/>
    <col width="24" customWidth="1" min="4" max="4"/>
    <col width="65" customWidth="1" min="5" max="5"/>
    <col width="24" customWidth="1" min="6" max="6"/>
  </cols>
  <sheetData>
    <row r="1" ht="30" customHeight="1">
      <c r="A1" s="1" t="inlineStr">
        <is>
          <t>id</t>
        </is>
      </c>
      <c r="B1" s="1" t="inlineStr">
        <is>
          <t>title</t>
        </is>
      </c>
      <c r="C1" s="1" t="inlineStr">
        <is>
          <t>url</t>
        </is>
      </c>
      <c r="D1" s="1" t="inlineStr">
        <is>
          <t>locator</t>
        </is>
      </c>
      <c r="E1" s="1" t="inlineStr">
        <is>
          <t>finding</t>
        </is>
      </c>
      <c r="F1" s="1" t="inlineStr">
        <is>
          <t>checked_date_bjt</t>
        </is>
      </c>
    </row>
    <row r="2" ht="42" customHeight="1">
      <c r="A2" s="2" t="inlineStr">
        <is>
          <t>S01</t>
        </is>
      </c>
      <c r="B2" s="2" t="inlineStr">
        <is>
          <t>老板电器2026-001活动记录（巨潮公开链接）</t>
        </is>
      </c>
      <c r="C2" s="2" t="inlineStr">
        <is>
          <t>https://static.cninfo.com.cn/finalpage/2026-05-13/1225304104.PDF</t>
        </is>
      </c>
      <c r="D2" s="2" t="inlineStr">
        <is>
          <t>PDF第1–4页</t>
        </is>
      </c>
      <c r="E2" s="2" t="inlineStr">
        <is>
          <t>编号、活动日期及5道问题可定位；没有逐题提交时间。与用户上传文件对应，未检验两链接PDF字节一致性。</t>
        </is>
      </c>
      <c r="F2" s="2" t="inlineStr">
        <is>
          <t>2026-10-23</t>
        </is>
      </c>
    </row>
    <row r="3" ht="42" customHeight="1">
      <c r="A3" s="3" t="inlineStr">
        <is>
          <t>S02</t>
        </is>
      </c>
      <c r="B3" s="3" t="inlineStr">
        <is>
          <t>老板电器2025年度网上说明会公告</t>
        </is>
      </c>
      <c r="C3" s="3" t="inlineStr">
        <is>
          <t>https://static.cninfo.com.cn/finalpage/2026-04-29/1225237778.PDF</t>
        </is>
      </c>
      <c r="D3" s="3" t="inlineStr">
        <is>
          <t>PDF第1页</t>
        </is>
      </c>
      <c r="E3" s="3" t="inlineStr">
        <is>
          <t>说明会在2026-05-13召开，允许5月12日前提前提问；活动日期不能直接赋给逐题时间。</t>
        </is>
      </c>
      <c r="F3" s="3" t="inlineStr">
        <is>
          <t>2026-10-23</t>
        </is>
      </c>
    </row>
    <row r="4" ht="42" customHeight="1">
      <c r="A4" s="2" t="inlineStr">
        <is>
          <t>S03</t>
        </is>
      </c>
      <c r="B4" s="2" t="inlineStr">
        <is>
          <t>立讯精密2026-002活动记录（巨潮公开链接）</t>
        </is>
      </c>
      <c r="C4" s="2" t="inlineStr">
        <is>
          <t>https://static.cninfo.com.cn/finalpage/2026-05-07/1225280960.PDF</t>
        </is>
      </c>
      <c r="D4" s="2" t="inlineStr">
        <is>
          <t>14页；第1页活动信息；第14页第85问</t>
        </is>
      </c>
      <c r="E4" s="2" t="inlineStr">
        <is>
          <t>活动在2026-05-06；股东数题在第85问。原始提交时间仍缺；事后公司回复不能进入输入。</t>
        </is>
      </c>
      <c r="F4" s="2" t="inlineStr">
        <is>
          <t>2026-10-23</t>
        </is>
      </c>
    </row>
    <row r="5" ht="42" customHeight="1">
      <c r="A5" s="3" t="inlineStr">
        <is>
          <t>S04</t>
        </is>
      </c>
      <c r="B5" s="3" t="inlineStr">
        <is>
          <t>立讯精密网上说明会通知（新浪公告转载）</t>
        </is>
      </c>
      <c r="C5" s="3" t="inlineStr">
        <is>
          <t>https://money.finance.sina.com.cn/corp/view/vCB_AllBulletinDetail.php?id=12129431&amp;stockid=002475</t>
        </is>
      </c>
      <c r="D5" s="3" t="inlineStr">
        <is>
          <t>公告日期2026-04-22；公告正文</t>
        </is>
      </c>
      <c r="E5" s="3" t="inlineStr">
        <is>
          <t>接受4月30日18:00前邮件提问；未说明每道候选题的来源或实际提交日期。公告日期不能自动充当提问下界。</t>
        </is>
      </c>
      <c r="F5" s="3" t="inlineStr">
        <is>
          <t>2026-10-23</t>
        </is>
      </c>
    </row>
    <row r="6" ht="42" customHeight="1">
      <c r="A6" s="2" t="inlineStr">
        <is>
          <t>S05</t>
        </is>
      </c>
      <c r="B6" s="2" t="inlineStr">
        <is>
          <t>智动力2025年年度报告全文</t>
        </is>
      </c>
      <c r="C6" s="2" t="inlineStr">
        <is>
          <t>https://static.cninfo.com.cn/finalpage/2026-04-29/1225251420.PDF</t>
        </is>
      </c>
      <c r="D6" s="2" t="inlineStr">
        <is>
          <t>205页；网页解析可读</t>
        </is>
      </c>
      <c r="E6" s="2" t="inlineStr">
        <is>
          <t>在线可读与完整PDF已下载是两种状态。目前完整原件仍未在工作区归档。</t>
        </is>
      </c>
      <c r="F6" s="2" t="inlineStr">
        <is>
          <t>2026-10-23</t>
        </is>
      </c>
    </row>
    <row r="7" ht="42" customHeight="1">
      <c r="A7" s="3" t="inlineStr">
        <is>
          <t>S06</t>
        </is>
      </c>
      <c r="B7" s="3" t="inlineStr">
        <is>
          <t>DeepSeek人民币模型价格</t>
        </is>
      </c>
      <c r="C7" s="3" t="inlineStr">
        <is>
          <t>https://api-docs.deepseek.com/zh-cn/quick_start/pricing/</t>
        </is>
      </c>
      <c r="D7" s="3" t="inlineStr">
        <is>
          <t>模型细节表及脚注1、2</t>
        </is>
      </c>
      <c r="E7" s="3" t="inlineStr">
        <is>
          <t>deepseek-flash当前文档映射DeepSeek-V4.1-Flash-1017；存在峰谷与缓存价格，见结构化计费摘录。</t>
        </is>
      </c>
      <c r="F7" s="3" t="inlineStr">
        <is>
          <t>2026-10-23</t>
        </is>
      </c>
    </row>
    <row r="8" ht="42" customHeight="1">
      <c r="A8" s="2" t="inlineStr">
        <is>
          <t>S07</t>
        </is>
      </c>
      <c r="B8" s="2" t="inlineStr">
        <is>
          <t>百炼模型调用价格</t>
        </is>
      </c>
      <c r="C8" s="2" t="inlineStr">
        <is>
          <t>https://help.aliyun.com/zh/model-studio/model-pricing</t>
        </is>
      </c>
      <c r="D8" s="2" t="inlineStr">
        <is>
          <t>文本生成—千问Flash—华北2（北京）</t>
        </is>
      </c>
      <c r="E8" s="2" t="inlineStr">
        <is>
          <t>qwen3.7-flash-2026-07-15支持分档计价，具体单价与地域见结构化摘录；运行前复查。</t>
        </is>
      </c>
      <c r="F8" s="2" t="inlineStr">
        <is>
          <t>2026-10-23</t>
        </is>
      </c>
    </row>
    <row r="9" ht="42" customHeight="1">
      <c r="A9" s="3" t="inlineStr">
        <is>
          <t>S08</t>
        </is>
      </c>
      <c r="B9" s="3" t="inlineStr">
        <is>
          <t>DeepSeek Chat Completions API</t>
        </is>
      </c>
      <c r="C9" s="3" t="inlineStr">
        <is>
          <t>https://api-docs.deepseek.com/api/create-chat-completion/</t>
        </is>
      </c>
      <c r="D9" s="3" t="inlineStr">
        <is>
          <t>thinking、temperature、max_tokens</t>
        </is>
      </c>
      <c r="E9" s="3" t="inlineStr">
        <is>
          <t>可显式关闭思考；非思考模式下温度有效。参数需保留原始请求与返回核对。</t>
        </is>
      </c>
      <c r="F9" s="3" t="inlineStr">
        <is>
          <t>2026-10-23</t>
        </is>
      </c>
    </row>
    <row r="10" ht="42" customHeight="1">
      <c r="A10" s="2" t="inlineStr">
        <is>
          <t>S09</t>
        </is>
      </c>
      <c r="B10" s="2" t="inlineStr">
        <is>
          <t>百炼深度思考说明</t>
        </is>
      </c>
      <c r="C10" s="2" t="inlineStr">
        <is>
          <t>https://help.aliyun.com/zh/model-studio/deep-thinking</t>
        </is>
      </c>
      <c r="D10" s="2" t="inlineStr">
        <is>
          <t>使用方式及Qwen3.7支持列表</t>
        </is>
      </c>
      <c r="E10" s="2" t="inlineStr">
        <is>
          <t>该千问快照支持混合思考；OpenAI兼容接口使用enable_thinking关闭。</t>
        </is>
      </c>
      <c r="F10" s="2" t="inlineStr">
        <is>
          <t>2026-10-23</t>
        </is>
      </c>
    </row>
  </sheetData>
  <autoFilter ref="A1:F10"/>
  <printOptions horizontalCentered="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2026-10-22T16:12:44Z</dcterms:created>
  <dcterms:modified xmlns:dcterms="http://purl.org/dc/terms/" xmlns:xsi="http://www.w3.org/2001/XMLSchema-instance" xsi:type="dcterms:W3CDTF">2026-10-22T16:14:49Z</dcterms:modified>
</cp:coreProperties>
</file>